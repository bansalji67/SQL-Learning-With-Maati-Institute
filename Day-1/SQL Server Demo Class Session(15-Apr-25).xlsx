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Daily Batch Classes/SQL Server Regular Batch(TT,15-Apr)/15-Apr/"/>
    </mc:Choice>
  </mc:AlternateContent>
  <xr:revisionPtr revIDLastSave="0" documentId="8_{69545F8F-C376-47A7-BB02-94F15D4C7398}" xr6:coauthVersionLast="47" xr6:coauthVersionMax="47" xr10:uidLastSave="{00000000-0000-0000-0000-000000000000}"/>
  <bookViews>
    <workbookView xWindow="-108" yWindow="-108" windowWidth="23256" windowHeight="12456" activeTab="2" xr2:uid="{BD069F70-F0A5-442C-A424-732474BD8003}"/>
  </bookViews>
  <sheets>
    <sheet name="SQL Server" sheetId="1" r:id="rId1"/>
    <sheet name="MS Access" sheetId="2" r:id="rId2"/>
    <sheet name="Azure Data Factory (ADF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E66" i="1" s="1"/>
  <c r="E67" i="1" s="1"/>
  <c r="E68" i="1" s="1"/>
  <c r="E69" i="1" s="1"/>
  <c r="J56" i="1"/>
  <c r="J57" i="1"/>
  <c r="J58" i="1"/>
  <c r="J59" i="1"/>
  <c r="J60" i="1"/>
  <c r="J55" i="1"/>
  <c r="I56" i="1"/>
  <c r="I57" i="1" s="1"/>
  <c r="I58" i="1" s="1"/>
  <c r="I59" i="1" s="1"/>
  <c r="I60" i="1" s="1"/>
  <c r="G56" i="1"/>
  <c r="G57" i="1"/>
  <c r="G58" i="1"/>
  <c r="G59" i="1"/>
  <c r="G60" i="1"/>
  <c r="G55" i="1"/>
  <c r="F56" i="1"/>
  <c r="F57" i="1" s="1"/>
  <c r="F58" i="1" s="1"/>
  <c r="F59" i="1" s="1"/>
  <c r="F60" i="1" s="1"/>
  <c r="D57" i="1"/>
  <c r="D58" i="1"/>
  <c r="D59" i="1"/>
  <c r="D60" i="1"/>
  <c r="D56" i="1"/>
  <c r="C57" i="1"/>
  <c r="C58" i="1" s="1"/>
  <c r="C59" i="1" s="1"/>
  <c r="C60" i="1" s="1"/>
  <c r="C56" i="1"/>
</calcChain>
</file>

<file path=xl/sharedStrings.xml><?xml version="1.0" encoding="utf-8"?>
<sst xmlns="http://schemas.openxmlformats.org/spreadsheetml/2006/main" count="249" uniqueCount="203">
  <si>
    <t>SQL Server with Basic Azure</t>
  </si>
  <si>
    <t>SQL Server 2022</t>
  </si>
  <si>
    <t>MS Access (Off 365)</t>
  </si>
  <si>
    <t>Basic Azure (ADF)</t>
  </si>
  <si>
    <t>Demo Training Session</t>
  </si>
  <si>
    <t>Data</t>
  </si>
  <si>
    <t>Set of Information</t>
  </si>
  <si>
    <t>Nature of Data</t>
  </si>
  <si>
    <t>1). Unstucutred Data</t>
  </si>
  <si>
    <t>2). Semi Stuctured Data</t>
  </si>
  <si>
    <t>3). Stuctured Data</t>
  </si>
  <si>
    <t>Database</t>
  </si>
  <si>
    <t>Collection of stuctured data</t>
  </si>
  <si>
    <t>Example of Database</t>
  </si>
  <si>
    <t>MS SQL,Oracle,SAP Hana,DB2,Mongo,MS Access,MySQL,Sybase,Foxpro etc</t>
  </si>
  <si>
    <t>Excel</t>
  </si>
  <si>
    <t>CRM/ERP</t>
  </si>
  <si>
    <t>Website/API</t>
  </si>
  <si>
    <t>Json/XML File</t>
  </si>
  <si>
    <t>Data Retervining</t>
  </si>
  <si>
    <t>Data Inserting</t>
  </si>
  <si>
    <t>Data Modeling</t>
  </si>
  <si>
    <t>Data Cleaning</t>
  </si>
  <si>
    <t>Data Formating</t>
  </si>
  <si>
    <t>Data Transaformation</t>
  </si>
  <si>
    <t>Data Collection</t>
  </si>
  <si>
    <t>Data Analysis</t>
  </si>
  <si>
    <t>Reports</t>
  </si>
  <si>
    <t>Analysis</t>
  </si>
  <si>
    <t>Planing/Forecasting</t>
  </si>
  <si>
    <t>Budgeting/Controlling</t>
  </si>
  <si>
    <t>Dashboard</t>
  </si>
  <si>
    <t>Story</t>
  </si>
  <si>
    <t>DBMS (Database Management System)</t>
  </si>
  <si>
    <t>DBMS</t>
  </si>
  <si>
    <t>Database Management System</t>
  </si>
  <si>
    <t>RDBMS</t>
  </si>
  <si>
    <t>Relational Database Management System</t>
  </si>
  <si>
    <t>Ex. SQL,Oracle,MS Access,Sybase,SAP Hana,DB2 etc</t>
  </si>
  <si>
    <t>HR</t>
  </si>
  <si>
    <t>EmpID</t>
  </si>
  <si>
    <t>DOJ</t>
  </si>
  <si>
    <t>Finance</t>
  </si>
  <si>
    <t>Salary</t>
  </si>
  <si>
    <t>Operation</t>
  </si>
  <si>
    <t>Productivity</t>
  </si>
  <si>
    <t>EmPID</t>
  </si>
  <si>
    <t>Why we need database ?</t>
  </si>
  <si>
    <t>1). To maintain Large Amount of data</t>
  </si>
  <si>
    <t>2). Useful for Busienss Analysis/data Analysis</t>
  </si>
  <si>
    <t>3). Use for Data Security</t>
  </si>
  <si>
    <t>4). Useful for Planning &amp; Forecasting</t>
  </si>
  <si>
    <t>5). Easy Compatibility with diff tools</t>
  </si>
  <si>
    <t>6). Global Accessibility</t>
  </si>
  <si>
    <t>Component of Database</t>
  </si>
  <si>
    <t>1). Database</t>
  </si>
  <si>
    <t>2). Table</t>
  </si>
  <si>
    <t>3). Row/Record</t>
  </si>
  <si>
    <t xml:space="preserve">4).Column/Field </t>
  </si>
  <si>
    <t>Collection of Tables</t>
  </si>
  <si>
    <t>Collection of Row &amp; Columns</t>
  </si>
  <si>
    <t>Horizontal Set of Information</t>
  </si>
  <si>
    <t>Vertical Set of Information</t>
  </si>
  <si>
    <t>Microsoft SQL Server</t>
  </si>
  <si>
    <t>Lead Role</t>
  </si>
  <si>
    <t>MS Access</t>
  </si>
  <si>
    <t>Intermdiate Role</t>
  </si>
  <si>
    <t>Microsoft Azure</t>
  </si>
  <si>
    <t>Basic Role</t>
  </si>
  <si>
    <t>SQL Server Introduction</t>
  </si>
  <si>
    <t>SEQUEL</t>
  </si>
  <si>
    <t>SQL</t>
  </si>
  <si>
    <t>S</t>
  </si>
  <si>
    <t>Q</t>
  </si>
  <si>
    <t>L</t>
  </si>
  <si>
    <t>Stuctured</t>
  </si>
  <si>
    <t>Query</t>
  </si>
  <si>
    <t>Langauge</t>
  </si>
  <si>
    <t>User</t>
  </si>
  <si>
    <t>Easy</t>
  </si>
  <si>
    <t>System</t>
  </si>
  <si>
    <t>Complex</t>
  </si>
  <si>
    <t>Memory Card</t>
  </si>
  <si>
    <t>Flopy Drive</t>
  </si>
  <si>
    <t>CD (Compact Disk)</t>
  </si>
  <si>
    <t>DVD</t>
  </si>
  <si>
    <t>Pen drive</t>
  </si>
  <si>
    <t>HDD</t>
  </si>
  <si>
    <t>SSD</t>
  </si>
  <si>
    <t>NAS (Network Attached Storage)</t>
  </si>
  <si>
    <t>Server</t>
  </si>
  <si>
    <t xml:space="preserve">Storage </t>
  </si>
  <si>
    <t>DR Site (Data Recovery Site)</t>
  </si>
  <si>
    <t>To store large Amount of Information/Data</t>
  </si>
  <si>
    <t>Database Developer</t>
  </si>
  <si>
    <t>Database Administrator</t>
  </si>
  <si>
    <t>SQL Server</t>
  </si>
  <si>
    <t>SSMS</t>
  </si>
  <si>
    <t>SQL Server Management Studio</t>
  </si>
  <si>
    <t>SSDT</t>
  </si>
  <si>
    <t>SQL Server Data Tools</t>
  </si>
  <si>
    <t>T-SQL</t>
  </si>
  <si>
    <t>PL SQL</t>
  </si>
  <si>
    <t>Basic</t>
  </si>
  <si>
    <t>Adv.</t>
  </si>
  <si>
    <t>Most Active SQL Server Version</t>
  </si>
  <si>
    <t>Required system configuration</t>
  </si>
  <si>
    <t>Win10</t>
  </si>
  <si>
    <t>Database Engine</t>
  </si>
  <si>
    <t>Azure Storage</t>
  </si>
  <si>
    <t>Integeration Services</t>
  </si>
  <si>
    <t>Reporting Services</t>
  </si>
  <si>
    <t>Analysis Servers</t>
  </si>
  <si>
    <t>Query Optimization</t>
  </si>
  <si>
    <t>Cloud Database</t>
  </si>
  <si>
    <t>SSIS</t>
  </si>
  <si>
    <t>SSRS</t>
  </si>
  <si>
    <t>SSAS</t>
  </si>
  <si>
    <t>IP Address</t>
  </si>
  <si>
    <t>Server Name</t>
  </si>
  <si>
    <t>System Name</t>
  </si>
  <si>
    <t>UserName</t>
  </si>
  <si>
    <t>.</t>
  </si>
  <si>
    <t>(local)</t>
  </si>
  <si>
    <t>Window Authentication</t>
  </si>
  <si>
    <t>SQL Server Authentication</t>
  </si>
  <si>
    <t>(loginID/Password)</t>
  </si>
  <si>
    <t>MS Access with Office 365</t>
  </si>
  <si>
    <t>Team Omega</t>
  </si>
  <si>
    <t>Fail</t>
  </si>
  <si>
    <t>Team Cyrus</t>
  </si>
  <si>
    <t>Pass</t>
  </si>
  <si>
    <t>Features</t>
  </si>
  <si>
    <t>SQL Server/ODBC</t>
  </si>
  <si>
    <t>BackEnd</t>
  </si>
  <si>
    <t>Yes</t>
  </si>
  <si>
    <t>yes</t>
  </si>
  <si>
    <t>frontEnd</t>
  </si>
  <si>
    <t>No</t>
  </si>
  <si>
    <t>Simple Query</t>
  </si>
  <si>
    <t>Complex Query</t>
  </si>
  <si>
    <t>Macro</t>
  </si>
  <si>
    <t>Scripting</t>
  </si>
  <si>
    <t>Form Controls</t>
  </si>
  <si>
    <t>Report</t>
  </si>
  <si>
    <t>Visualization</t>
  </si>
  <si>
    <t>Large Data</t>
  </si>
  <si>
    <t>Advanced Query</t>
  </si>
  <si>
    <t>no</t>
  </si>
  <si>
    <t>data Capicity</t>
  </si>
  <si>
    <t>10 GB</t>
  </si>
  <si>
    <t>2 GB</t>
  </si>
  <si>
    <t>Cost</t>
  </si>
  <si>
    <t>Scope</t>
  </si>
  <si>
    <t>Increase</t>
  </si>
  <si>
    <t>Not increase</t>
  </si>
  <si>
    <t>AZURE data Factory</t>
  </si>
  <si>
    <t>ETL</t>
  </si>
  <si>
    <t>Extract</t>
  </si>
  <si>
    <t>transform</t>
  </si>
  <si>
    <t>Load</t>
  </si>
  <si>
    <t xml:space="preserve">Types of ETL Tools </t>
  </si>
  <si>
    <t>1). SSIS</t>
  </si>
  <si>
    <t>2).Atryx</t>
  </si>
  <si>
    <t>3). Informatica</t>
  </si>
  <si>
    <t>4). Power Query</t>
  </si>
  <si>
    <t>5). Tableau Prep</t>
  </si>
  <si>
    <t>Dashbaord</t>
  </si>
  <si>
    <t>Course Duration</t>
  </si>
  <si>
    <t>Day</t>
  </si>
  <si>
    <t>Time</t>
  </si>
  <si>
    <t>Every Class Video Recording</t>
  </si>
  <si>
    <t>Question Set</t>
  </si>
  <si>
    <t>Course Fee</t>
  </si>
  <si>
    <t>Only 7000</t>
  </si>
  <si>
    <t>3500+3500</t>
  </si>
  <si>
    <t>Microsoft SQL</t>
  </si>
  <si>
    <t>mySQL</t>
  </si>
  <si>
    <t>NoSQL</t>
  </si>
  <si>
    <t>CSV/Notepad</t>
  </si>
  <si>
    <t>(MSBI - SSIS,SSRS,SSAS)</t>
  </si>
  <si>
    <t>features of MS Access</t>
  </si>
  <si>
    <t>1). Table</t>
  </si>
  <si>
    <t>2). Query</t>
  </si>
  <si>
    <t>3). Forms</t>
  </si>
  <si>
    <t>4). Reports</t>
  </si>
  <si>
    <t>5). Macro</t>
  </si>
  <si>
    <t>6). Coding/Visual Basic</t>
  </si>
  <si>
    <t>SQL Server Install-&gt;</t>
  </si>
  <si>
    <t>7 days Institiute open</t>
  </si>
  <si>
    <t>Class offline+Online</t>
  </si>
  <si>
    <t>Management Requirement</t>
  </si>
  <si>
    <t>8 GB RAM</t>
  </si>
  <si>
    <t>E</t>
  </si>
  <si>
    <t>T</t>
  </si>
  <si>
    <t>Transform</t>
  </si>
  <si>
    <t>Ex. Foxpro,No SQL</t>
  </si>
  <si>
    <t>Query+Wizard-&gt;Macro-&gt;Coding</t>
  </si>
  <si>
    <t>etc Azure data Factory</t>
  </si>
  <si>
    <t>Cloud ETL</t>
  </si>
  <si>
    <t>2.5 Month</t>
  </si>
  <si>
    <t>Tuesday/Thursday</t>
  </si>
  <si>
    <t>Time 8 PM to 9,39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</si>
</sst>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5" fillId="0" borderId="0" xfId="0" applyFont="1"/>
    <xf numFmtId="0" fontId="0" fillId="4" borderId="0" xfId="0" applyFill="1"/>
    <xf numFmtId="9" fontId="1" fillId="0" borderId="0" xfId="0" applyNumberFormat="1" applyFont="1"/>
    <xf numFmtId="14" fontId="0" fillId="0" borderId="0" xfId="0" applyNumberFormat="1"/>
    <xf numFmtId="0" fontId="0" fillId="3" borderId="0" xfId="0" applyFill="1"/>
    <xf numFmtId="0" fontId="1" fillId="3" borderId="0" xfId="0" applyFont="1" applyFill="1"/>
    <xf numFmtId="0" fontId="2" fillId="2" borderId="0" xfId="1"/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15FF53B0-D030-4ED5-BB08-CDB16399B7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1508760</xdr:colOff>
      <xdr:row>3</xdr:row>
      <xdr:rowOff>60960</xdr:rowOff>
    </xdr:from>
    <xdr:to>
      <xdr:col>7</xdr:col>
      <xdr:colOff>876300</xdr:colOff>
      <xdr:row>8</xdr:row>
      <xdr:rowOff>243840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27E63495-BB4A-78D4-DBF3-016512933A61}"/>
            </a:ext>
          </a:extLst>
        </xdr:cNvPr>
        <xdr:cNvSpPr/>
      </xdr:nvSpPr>
      <xdr:spPr>
        <a:xfrm>
          <a:off x="7360920" y="861060"/>
          <a:ext cx="1143000" cy="151638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274320</xdr:colOff>
      <xdr:row>27</xdr:row>
      <xdr:rowOff>190500</xdr:rowOff>
    </xdr:from>
    <xdr:to>
      <xdr:col>4</xdr:col>
      <xdr:colOff>335280</xdr:colOff>
      <xdr:row>30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6AE68D-3BDE-F4C5-DF33-27B6FE320E60}"/>
            </a:ext>
          </a:extLst>
        </xdr:cNvPr>
        <xdr:cNvSpPr/>
      </xdr:nvSpPr>
      <xdr:spPr>
        <a:xfrm>
          <a:off x="2225040" y="7391400"/>
          <a:ext cx="2011680" cy="685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              Database</a:t>
          </a:r>
        </a:p>
      </xdr:txBody>
    </xdr:sp>
    <xdr:clientData/>
  </xdr:twoCellAnchor>
  <xdr:twoCellAnchor>
    <xdr:from>
      <xdr:col>2</xdr:col>
      <xdr:colOff>502920</xdr:colOff>
      <xdr:row>22</xdr:row>
      <xdr:rowOff>205740</xdr:rowOff>
    </xdr:from>
    <xdr:to>
      <xdr:col>3</xdr:col>
      <xdr:colOff>259080</xdr:colOff>
      <xdr:row>27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20AFF29-4ABD-BC2F-2518-7B8C55A4EDDC}"/>
            </a:ext>
          </a:extLst>
        </xdr:cNvPr>
        <xdr:cNvCxnSpPr/>
      </xdr:nvCxnSpPr>
      <xdr:spPr>
        <a:xfrm flipH="1" flipV="1">
          <a:off x="2453640" y="6073140"/>
          <a:ext cx="731520" cy="1257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25</xdr:row>
      <xdr:rowOff>0</xdr:rowOff>
    </xdr:from>
    <xdr:to>
      <xdr:col>3</xdr:col>
      <xdr:colOff>304800</xdr:colOff>
      <xdr:row>27</xdr:row>
      <xdr:rowOff>190500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3A61045-8A70-46E8-BF83-EDCDC948D413}"/>
            </a:ext>
          </a:extLst>
        </xdr:cNvPr>
        <xdr:cNvCxnSpPr>
          <a:stCxn id="3" idx="0"/>
        </xdr:cNvCxnSpPr>
      </xdr:nvCxnSpPr>
      <xdr:spPr>
        <a:xfrm flipH="1" flipV="1">
          <a:off x="975360" y="6667500"/>
          <a:ext cx="2255520" cy="723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655320</xdr:colOff>
      <xdr:row>27</xdr:row>
      <xdr:rowOff>228600</xdr:rowOff>
    </xdr:from>
    <xdr:to>
      <xdr:col>2</xdr:col>
      <xdr:colOff>274320</xdr:colOff>
      <xdr:row>29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928577C-C2FD-F339-C5A3-030B5C9BAC32}"/>
            </a:ext>
          </a:extLst>
        </xdr:cNvPr>
        <xdr:cNvCxnSpPr>
          <a:stCxn id="3" idx="1"/>
        </xdr:cNvCxnSpPr>
      </xdr:nvCxnSpPr>
      <xdr:spPr>
        <a:xfrm flipH="1" flipV="1">
          <a:off x="655320" y="7429500"/>
          <a:ext cx="156972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640080</xdr:colOff>
      <xdr:row>30</xdr:row>
      <xdr:rowOff>30480</xdr:rowOff>
    </xdr:from>
    <xdr:to>
      <xdr:col>2</xdr:col>
      <xdr:colOff>281940</xdr:colOff>
      <xdr:row>32</xdr:row>
      <xdr:rowOff>129540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6D1D11C-0F0D-C97D-2AF4-0B10D466DDA9}"/>
            </a:ext>
          </a:extLst>
        </xdr:cNvPr>
        <xdr:cNvCxnSpPr/>
      </xdr:nvCxnSpPr>
      <xdr:spPr>
        <a:xfrm flipH="1">
          <a:off x="640080" y="8031480"/>
          <a:ext cx="1592580" cy="6324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205740</xdr:colOff>
      <xdr:row>30</xdr:row>
      <xdr:rowOff>76200</xdr:rowOff>
    </xdr:from>
    <xdr:to>
      <xdr:col>3</xdr:col>
      <xdr:colOff>304800</xdr:colOff>
      <xdr:row>35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F7DC81A-8519-E38A-D480-37C24EBDE865}"/>
            </a:ext>
          </a:extLst>
        </xdr:cNvPr>
        <xdr:cNvCxnSpPr>
          <a:stCxn id="3" idx="2"/>
        </xdr:cNvCxnSpPr>
      </xdr:nvCxnSpPr>
      <xdr:spPr>
        <a:xfrm flipH="1">
          <a:off x="2156460" y="8077200"/>
          <a:ext cx="1074420" cy="1386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335280</xdr:colOff>
      <xdr:row>28</xdr:row>
      <xdr:rowOff>236220</xdr:rowOff>
    </xdr:from>
    <xdr:to>
      <xdr:col>5</xdr:col>
      <xdr:colOff>701040</xdr:colOff>
      <xdr:row>29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25B7AA4-30F4-B904-6699-3A7D17243BAE}"/>
            </a:ext>
          </a:extLst>
        </xdr:cNvPr>
        <xdr:cNvCxnSpPr>
          <a:stCxn id="3" idx="3"/>
        </xdr:cNvCxnSpPr>
      </xdr:nvCxnSpPr>
      <xdr:spPr>
        <a:xfrm flipV="1">
          <a:off x="4236720" y="7703820"/>
          <a:ext cx="1341120" cy="304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716280</xdr:colOff>
      <xdr:row>26</xdr:row>
      <xdr:rowOff>182880</xdr:rowOff>
    </xdr:from>
    <xdr:to>
      <xdr:col>7</xdr:col>
      <xdr:colOff>670560</xdr:colOff>
      <xdr:row>30</xdr:row>
      <xdr:rowOff>175260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E1E4CE5-9D32-2F3A-D1D4-3CFA0B3C954B}"/>
            </a:ext>
          </a:extLst>
        </xdr:cNvPr>
        <xdr:cNvSpPr/>
      </xdr:nvSpPr>
      <xdr:spPr>
        <a:xfrm>
          <a:off x="5593080" y="7117080"/>
          <a:ext cx="3025140" cy="105918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Database Management System</a:t>
          </a:r>
        </a:p>
      </xdr:txBody>
    </xdr:sp>
    <xdr:clientData/>
  </xdr:twoCellAnchor>
  <xdr:twoCellAnchor>
    <xdr:from>
      <xdr:col>7</xdr:col>
      <xdr:colOff>227539</xdr:colOff>
      <xdr:row>25</xdr:row>
      <xdr:rowOff>91440</xdr:rowOff>
    </xdr:from>
    <xdr:to>
      <xdr:col>8</xdr:col>
      <xdr:colOff>655320</xdr:colOff>
      <xdr:row>27</xdr:row>
      <xdr:rowOff>71293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DCD182BE-6D6D-0605-41D9-FDE5E9A74A8A}"/>
            </a:ext>
          </a:extLst>
        </xdr:cNvPr>
        <xdr:cNvCxnSpPr>
          <a:stCxn id="16" idx="7"/>
        </xdr:cNvCxnSpPr>
      </xdr:nvCxnSpPr>
      <xdr:spPr>
        <a:xfrm flipV="1">
          <a:off x="8175199" y="6758940"/>
          <a:ext cx="1403141" cy="5132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198120</xdr:colOff>
      <xdr:row>27</xdr:row>
      <xdr:rowOff>208453</xdr:rowOff>
    </xdr:from>
    <xdr:to>
      <xdr:col>8</xdr:col>
      <xdr:colOff>739140</xdr:colOff>
      <xdr:row>27</xdr:row>
      <xdr:rowOff>213360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6BC07BB2-945D-4758-B3ED-68510C3FC210}"/>
            </a:ext>
          </a:extLst>
        </xdr:cNvPr>
        <xdr:cNvCxnSpPr/>
      </xdr:nvCxnSpPr>
      <xdr:spPr>
        <a:xfrm>
          <a:off x="8145780" y="7409353"/>
          <a:ext cx="1516380" cy="49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28</xdr:row>
      <xdr:rowOff>15240</xdr:rowOff>
    </xdr:from>
    <xdr:to>
      <xdr:col>10</xdr:col>
      <xdr:colOff>243840</xdr:colOff>
      <xdr:row>30</xdr:row>
      <xdr:rowOff>38100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144EC26-C516-4339-B346-CA323EA3F07D}"/>
            </a:ext>
          </a:extLst>
        </xdr:cNvPr>
        <xdr:cNvCxnSpPr/>
      </xdr:nvCxnSpPr>
      <xdr:spPr>
        <a:xfrm>
          <a:off x="8404860" y="7482840"/>
          <a:ext cx="271272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28</xdr:row>
      <xdr:rowOff>121920</xdr:rowOff>
    </xdr:from>
    <xdr:to>
      <xdr:col>9</xdr:col>
      <xdr:colOff>731520</xdr:colOff>
      <xdr:row>32</xdr:row>
      <xdr:rowOff>190500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1A42B6D-5D69-FB81-E39B-1CEBCCBC30D4}"/>
            </a:ext>
          </a:extLst>
        </xdr:cNvPr>
        <xdr:cNvCxnSpPr/>
      </xdr:nvCxnSpPr>
      <xdr:spPr>
        <a:xfrm>
          <a:off x="8503920" y="7589520"/>
          <a:ext cx="2125980" cy="1135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227539</xdr:colOff>
      <xdr:row>27</xdr:row>
      <xdr:rowOff>71293</xdr:rowOff>
    </xdr:from>
    <xdr:to>
      <xdr:col>9</xdr:col>
      <xdr:colOff>38100</xdr:colOff>
      <xdr:row>35</xdr:row>
      <xdr:rowOff>228600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B501453A-4331-DEC5-195E-12E5B6C42C79}"/>
            </a:ext>
          </a:extLst>
        </xdr:cNvPr>
        <xdr:cNvCxnSpPr>
          <a:stCxn id="16" idx="7"/>
        </xdr:cNvCxnSpPr>
      </xdr:nvCxnSpPr>
      <xdr:spPr>
        <a:xfrm>
          <a:off x="8175199" y="7272193"/>
          <a:ext cx="1761281" cy="22909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670560</xdr:colOff>
      <xdr:row>28</xdr:row>
      <xdr:rowOff>179070</xdr:rowOff>
    </xdr:from>
    <xdr:to>
      <xdr:col>8</xdr:col>
      <xdr:colOff>114300</xdr:colOff>
      <xdr:row>38</xdr:row>
      <xdr:rowOff>60960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9C296157-D179-5482-C191-86291F763DF7}"/>
            </a:ext>
          </a:extLst>
        </xdr:cNvPr>
        <xdr:cNvCxnSpPr>
          <a:stCxn id="16" idx="6"/>
        </xdr:cNvCxnSpPr>
      </xdr:nvCxnSpPr>
      <xdr:spPr>
        <a:xfrm>
          <a:off x="8618220" y="7646670"/>
          <a:ext cx="419100" cy="25488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541020</xdr:colOff>
      <xdr:row>102</xdr:row>
      <xdr:rowOff>152400</xdr:rowOff>
    </xdr:from>
    <xdr:to>
      <xdr:col>7</xdr:col>
      <xdr:colOff>15240</xdr:colOff>
      <xdr:row>102</xdr:row>
      <xdr:rowOff>152400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9691A30-8710-8EB3-0E9C-DEF96C430AC0}"/>
            </a:ext>
          </a:extLst>
        </xdr:cNvPr>
        <xdr:cNvCxnSpPr/>
      </xdr:nvCxnSpPr>
      <xdr:spPr>
        <a:xfrm>
          <a:off x="3467100" y="27355800"/>
          <a:ext cx="4495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510540</xdr:colOff>
      <xdr:row>104</xdr:row>
      <xdr:rowOff>121920</xdr:rowOff>
    </xdr:from>
    <xdr:to>
      <xdr:col>6</xdr:col>
      <xdr:colOff>2080260</xdr:colOff>
      <xdr:row>104</xdr:row>
      <xdr:rowOff>121920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A9C61392-D053-484B-A0CF-E566BA04BAF4}"/>
            </a:ext>
          </a:extLst>
        </xdr:cNvPr>
        <xdr:cNvCxnSpPr/>
      </xdr:nvCxnSpPr>
      <xdr:spPr>
        <a:xfrm>
          <a:off x="3436620" y="27858720"/>
          <a:ext cx="449580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134</xdr:row>
      <xdr:rowOff>220980</xdr:rowOff>
    </xdr:from>
    <xdr:to>
      <xdr:col>5</xdr:col>
      <xdr:colOff>807720</xdr:colOff>
      <xdr:row>142</xdr:row>
      <xdr:rowOff>251460</xdr:rowOff>
    </xdr:to>
    <xdr:sp macro="" textlink="">
      <xdr:nvSpPr>
        <xdr:cNvPr id="34" name="Right Brace 33">
          <a:extLst>
            <a:ext uri="{FF2B5EF4-FFF2-40B4-BE49-F238E27FC236}">
              <a16:creationId xmlns:a16="http://schemas.microsoft.com/office/drawing/2014/main" id="{48C8FC7D-088F-F371-EF80-E4B643888135}"/>
            </a:ext>
          </a:extLst>
        </xdr:cNvPr>
        <xdr:cNvSpPr/>
      </xdr:nvSpPr>
      <xdr:spPr>
        <a:xfrm>
          <a:off x="6134100" y="35958780"/>
          <a:ext cx="731520" cy="216408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2119691</xdr:colOff>
      <xdr:row>144</xdr:row>
      <xdr:rowOff>78000</xdr:rowOff>
    </xdr:from>
    <xdr:to>
      <xdr:col>6</xdr:col>
      <xdr:colOff>868681</xdr:colOff>
      <xdr:row>161</xdr:row>
      <xdr:rowOff>18300</xdr:rowOff>
    </xdr:to>
    <xdr:pic>
      <xdr:nvPicPr>
        <xdr:cNvPr id="35" name="Picture 34" descr="A screenshot of a computer&#10;&#10;Description automatically generated">
          <a:extLst>
            <a:ext uri="{FF2B5EF4-FFF2-40B4-BE49-F238E27FC236}">
              <a16:creationId xmlns:a16="http://schemas.microsoft.com/office/drawing/2014/main" id="{687E401E-1D8B-17E9-C405-896587C26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5931" y="38482800"/>
          <a:ext cx="4509710" cy="4474200"/>
        </a:xfrm>
        <a:prstGeom prst="rect">
          <a:avLst/>
        </a:prstGeom>
      </xdr:spPr>
    </xdr:pic>
    <xdr:clientData/>
  </xdr:twoCellAnchor>
  <xdr:twoCellAnchor>
    <xdr:from>
      <xdr:col>6</xdr:col>
      <xdr:colOff>114300</xdr:colOff>
      <xdr:row>149</xdr:row>
      <xdr:rowOff>121920</xdr:rowOff>
    </xdr:from>
    <xdr:to>
      <xdr:col>8</xdr:col>
      <xdr:colOff>579120</xdr:colOff>
      <xdr:row>151</xdr:row>
      <xdr:rowOff>236220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DAB09272-D27B-5CF4-D677-A82220DEEFBA}"/>
            </a:ext>
          </a:extLst>
        </xdr:cNvPr>
        <xdr:cNvCxnSpPr/>
      </xdr:nvCxnSpPr>
      <xdr:spPr>
        <a:xfrm>
          <a:off x="10081260" y="39860220"/>
          <a:ext cx="3749040" cy="64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150</xdr:row>
      <xdr:rowOff>121920</xdr:rowOff>
    </xdr:from>
    <xdr:to>
      <xdr:col>8</xdr:col>
      <xdr:colOff>198120</xdr:colOff>
      <xdr:row>158</xdr:row>
      <xdr:rowOff>121920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C195CF9-529F-8059-FE18-44B199C330DC}"/>
            </a:ext>
          </a:extLst>
        </xdr:cNvPr>
        <xdr:cNvCxnSpPr/>
      </xdr:nvCxnSpPr>
      <xdr:spPr>
        <a:xfrm>
          <a:off x="10134600" y="40126920"/>
          <a:ext cx="3314700" cy="21336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891540</xdr:colOff>
      <xdr:row>150</xdr:row>
      <xdr:rowOff>91440</xdr:rowOff>
    </xdr:from>
    <xdr:to>
      <xdr:col>5</xdr:col>
      <xdr:colOff>1577340</xdr:colOff>
      <xdr:row>157</xdr:row>
      <xdr:rowOff>68580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665A7D4-F027-4020-6E80-2E41373AB807}"/>
            </a:ext>
          </a:extLst>
        </xdr:cNvPr>
        <xdr:cNvCxnSpPr/>
      </xdr:nvCxnSpPr>
      <xdr:spPr>
        <a:xfrm flipH="1">
          <a:off x="1866900" y="40096440"/>
          <a:ext cx="6073140" cy="18440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153</xdr:row>
      <xdr:rowOff>76200</xdr:rowOff>
    </xdr:from>
    <xdr:to>
      <xdr:col>9</xdr:col>
      <xdr:colOff>861060</xdr:colOff>
      <xdr:row>155</xdr:row>
      <xdr:rowOff>220980</xdr:rowOff>
    </xdr:to>
    <xdr:sp macro="" textlink="">
      <xdr:nvSpPr>
        <xdr:cNvPr id="42" name="Right Brace 41">
          <a:extLst>
            <a:ext uri="{FF2B5EF4-FFF2-40B4-BE49-F238E27FC236}">
              <a16:creationId xmlns:a16="http://schemas.microsoft.com/office/drawing/2014/main" id="{D9EABFD2-3BFC-7734-FF65-BE3C05008B92}"/>
            </a:ext>
          </a:extLst>
        </xdr:cNvPr>
        <xdr:cNvSpPr/>
      </xdr:nvSpPr>
      <xdr:spPr>
        <a:xfrm>
          <a:off x="11544300" y="40881300"/>
          <a:ext cx="396240" cy="67818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18</xdr:row>
      <xdr:rowOff>0</xdr:rowOff>
    </xdr:from>
    <xdr:to>
      <xdr:col>4</xdr:col>
      <xdr:colOff>944880</xdr:colOff>
      <xdr:row>22</xdr:row>
      <xdr:rowOff>205740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739681C-2B49-F81E-C83C-A574F54181BB}"/>
            </a:ext>
          </a:extLst>
        </xdr:cNvPr>
        <xdr:cNvSpPr/>
      </xdr:nvSpPr>
      <xdr:spPr>
        <a:xfrm>
          <a:off x="3131820" y="4800600"/>
          <a:ext cx="1714500" cy="127254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r>
            <a:rPr lang="en-US" sz="1100"/>
            <a:t>Connect &amp; Collect from diff data source</a:t>
          </a:r>
        </a:p>
      </xdr:txBody>
    </xdr:sp>
    <xdr:clientData/>
  </xdr:twoCellAnchor>
  <xdr:twoCellAnchor>
    <xdr:from>
      <xdr:col>5</xdr:col>
      <xdr:colOff>15240</xdr:colOff>
      <xdr:row>19</xdr:row>
      <xdr:rowOff>68580</xdr:rowOff>
    </xdr:from>
    <xdr:to>
      <xdr:col>7</xdr:col>
      <xdr:colOff>845820</xdr:colOff>
      <xdr:row>21</xdr:row>
      <xdr:rowOff>175260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1D5B70D4-42A8-9C79-BED4-954F213B86CA}"/>
            </a:ext>
          </a:extLst>
        </xdr:cNvPr>
        <xdr:cNvSpPr/>
      </xdr:nvSpPr>
      <xdr:spPr>
        <a:xfrm>
          <a:off x="4892040" y="5135880"/>
          <a:ext cx="2781300" cy="6400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                Data Trasnformation</a:t>
          </a:r>
        </a:p>
      </xdr:txBody>
    </xdr:sp>
    <xdr:clientData/>
  </xdr:twoCellAnchor>
  <xdr:twoCellAnchor>
    <xdr:from>
      <xdr:col>7</xdr:col>
      <xdr:colOff>632460</xdr:colOff>
      <xdr:row>15</xdr:row>
      <xdr:rowOff>129540</xdr:rowOff>
    </xdr:from>
    <xdr:to>
      <xdr:col>9</xdr:col>
      <xdr:colOff>220980</xdr:colOff>
      <xdr:row>19</xdr:row>
      <xdr:rowOff>259080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13DD1D9-43CF-01B7-9521-D4DBCD65BD58}"/>
            </a:ext>
          </a:extLst>
        </xdr:cNvPr>
        <xdr:cNvCxnSpPr/>
      </xdr:nvCxnSpPr>
      <xdr:spPr>
        <a:xfrm flipV="1">
          <a:off x="7459980" y="4130040"/>
          <a:ext cx="1539240" cy="11963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701040</xdr:colOff>
      <xdr:row>20</xdr:row>
      <xdr:rowOff>0</xdr:rowOff>
    </xdr:from>
    <xdr:to>
      <xdr:col>10</xdr:col>
      <xdr:colOff>563880</xdr:colOff>
      <xdr:row>20</xdr:row>
      <xdr:rowOff>15240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D9FC82C-FAE7-47A2-8B0E-42736D636091}"/>
            </a:ext>
          </a:extLst>
        </xdr:cNvPr>
        <xdr:cNvCxnSpPr/>
      </xdr:nvCxnSpPr>
      <xdr:spPr>
        <a:xfrm flipV="1">
          <a:off x="7528560" y="5334000"/>
          <a:ext cx="278892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20</xdr:row>
      <xdr:rowOff>198120</xdr:rowOff>
    </xdr:from>
    <xdr:to>
      <xdr:col>10</xdr:col>
      <xdr:colOff>662940</xdr:colOff>
      <xdr:row>22</xdr:row>
      <xdr:rowOff>220980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B3F38E9-0F65-46E0-913F-8B35A05CDD53}"/>
            </a:ext>
          </a:extLst>
        </xdr:cNvPr>
        <xdr:cNvCxnSpPr/>
      </xdr:nvCxnSpPr>
      <xdr:spPr>
        <a:xfrm>
          <a:off x="7566660" y="5532120"/>
          <a:ext cx="2849880" cy="556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601980</xdr:colOff>
      <xdr:row>20</xdr:row>
      <xdr:rowOff>243840</xdr:rowOff>
    </xdr:from>
    <xdr:to>
      <xdr:col>11</xdr:col>
      <xdr:colOff>899160</xdr:colOff>
      <xdr:row>26</xdr:row>
      <xdr:rowOff>22860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BF6BB5C-54BB-4253-8210-6C4C6497D65C}"/>
            </a:ext>
          </a:extLst>
        </xdr:cNvPr>
        <xdr:cNvCxnSpPr/>
      </xdr:nvCxnSpPr>
      <xdr:spPr>
        <a:xfrm>
          <a:off x="7429500" y="5577840"/>
          <a:ext cx="4198620" cy="13792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5AF7-1072-48C3-836E-1E3065662573}">
  <dimension ref="A1:K164"/>
  <sheetViews>
    <sheetView topLeftCell="D1" workbookViewId="0">
      <selection activeCell="D1" sqref="D1:K2"/>
    </sheetView>
  </sheetViews>
  <sheetFormatPr defaultRowHeight="21" x14ac:dyDescent="0.4"/>
  <cols>
    <col min="4" max="4" width="12" customWidth="1"/>
    <col min="5" max="5" width="20.2109375" customWidth="1"/>
    <col min="6" max="6" width="33.78515625" customWidth="1"/>
    <col min="7" max="7" width="19.640625" customWidth="1"/>
    <col min="8" max="8" width="11.140625" customWidth="1"/>
    <col min="9" max="9" width="15.42578125" customWidth="1"/>
  </cols>
  <sheetData>
    <row r="1" spans="2:11" x14ac:dyDescent="0.4">
      <c r="D1" s="13" t="s">
        <v>0</v>
      </c>
      <c r="E1" s="13"/>
      <c r="F1" s="13"/>
      <c r="G1" s="13"/>
      <c r="H1" s="13"/>
      <c r="I1" s="13"/>
      <c r="J1" s="13"/>
      <c r="K1" s="13"/>
    </row>
    <row r="2" spans="2:11" x14ac:dyDescent="0.4">
      <c r="D2" s="13"/>
      <c r="E2" s="13"/>
      <c r="F2" s="13"/>
      <c r="G2" s="13"/>
      <c r="H2" s="13"/>
      <c r="I2" s="13"/>
      <c r="J2" s="13"/>
      <c r="K2" s="13"/>
    </row>
    <row r="5" spans="2:11" x14ac:dyDescent="0.4">
      <c r="G5" t="s">
        <v>1</v>
      </c>
    </row>
    <row r="6" spans="2:11" x14ac:dyDescent="0.4">
      <c r="B6" s="1" t="s">
        <v>176</v>
      </c>
      <c r="G6" t="s">
        <v>2</v>
      </c>
      <c r="I6" t="s">
        <v>4</v>
      </c>
    </row>
    <row r="7" spans="2:11" x14ac:dyDescent="0.4">
      <c r="B7" t="s">
        <v>177</v>
      </c>
      <c r="G7" t="s">
        <v>3</v>
      </c>
    </row>
    <row r="8" spans="2:11" x14ac:dyDescent="0.4">
      <c r="B8" t="s">
        <v>178</v>
      </c>
    </row>
    <row r="12" spans="2:11" x14ac:dyDescent="0.4">
      <c r="F12" t="s">
        <v>5</v>
      </c>
      <c r="G12" t="s">
        <v>6</v>
      </c>
    </row>
    <row r="14" spans="2:11" x14ac:dyDescent="0.4">
      <c r="G14" s="2" t="s">
        <v>7</v>
      </c>
    </row>
    <row r="16" spans="2:11" x14ac:dyDescent="0.4">
      <c r="G16" s="3" t="s">
        <v>8</v>
      </c>
      <c r="H16" s="14">
        <v>0.99</v>
      </c>
    </row>
    <row r="17" spans="1:11" x14ac:dyDescent="0.4">
      <c r="G17" s="3" t="s">
        <v>9</v>
      </c>
      <c r="H17" s="15"/>
    </row>
    <row r="18" spans="1:11" x14ac:dyDescent="0.4">
      <c r="G18" t="s">
        <v>10</v>
      </c>
      <c r="H18" s="4">
        <v>0.01</v>
      </c>
    </row>
    <row r="20" spans="1:11" x14ac:dyDescent="0.4">
      <c r="F20" t="s">
        <v>11</v>
      </c>
      <c r="G20" t="s">
        <v>12</v>
      </c>
    </row>
    <row r="22" spans="1:11" x14ac:dyDescent="0.4">
      <c r="G22" s="2" t="s">
        <v>13</v>
      </c>
    </row>
    <row r="23" spans="1:11" x14ac:dyDescent="0.4">
      <c r="C23" t="s">
        <v>15</v>
      </c>
    </row>
    <row r="24" spans="1:11" x14ac:dyDescent="0.4">
      <c r="G24" t="s">
        <v>14</v>
      </c>
    </row>
    <row r="25" spans="1:11" x14ac:dyDescent="0.4">
      <c r="A25" t="s">
        <v>179</v>
      </c>
    </row>
    <row r="26" spans="1:11" x14ac:dyDescent="0.4">
      <c r="I26" t="s">
        <v>27</v>
      </c>
    </row>
    <row r="28" spans="1:11" x14ac:dyDescent="0.4">
      <c r="A28" t="s">
        <v>16</v>
      </c>
      <c r="J28" t="s">
        <v>28</v>
      </c>
    </row>
    <row r="30" spans="1:11" x14ac:dyDescent="0.4">
      <c r="K30" t="s">
        <v>29</v>
      </c>
    </row>
    <row r="33" spans="1:11" x14ac:dyDescent="0.4">
      <c r="A33" t="s">
        <v>17</v>
      </c>
      <c r="G33" t="s">
        <v>19</v>
      </c>
      <c r="K33" t="s">
        <v>30</v>
      </c>
    </row>
    <row r="34" spans="1:11" x14ac:dyDescent="0.4">
      <c r="G34" t="s">
        <v>20</v>
      </c>
    </row>
    <row r="35" spans="1:11" x14ac:dyDescent="0.4">
      <c r="G35" t="s">
        <v>21</v>
      </c>
    </row>
    <row r="36" spans="1:11" x14ac:dyDescent="0.4">
      <c r="C36" t="s">
        <v>18</v>
      </c>
      <c r="G36" t="s">
        <v>22</v>
      </c>
      <c r="J36" t="s">
        <v>31</v>
      </c>
    </row>
    <row r="37" spans="1:11" x14ac:dyDescent="0.4">
      <c r="G37" t="s">
        <v>23</v>
      </c>
    </row>
    <row r="38" spans="1:11" x14ac:dyDescent="0.4">
      <c r="G38" t="s">
        <v>24</v>
      </c>
    </row>
    <row r="39" spans="1:11" x14ac:dyDescent="0.4">
      <c r="G39" t="s">
        <v>25</v>
      </c>
      <c r="I39" t="s">
        <v>32</v>
      </c>
    </row>
    <row r="40" spans="1:11" x14ac:dyDescent="0.4">
      <c r="G40" t="s">
        <v>26</v>
      </c>
    </row>
    <row r="44" spans="1:11" x14ac:dyDescent="0.4">
      <c r="E44" s="16" t="s">
        <v>33</v>
      </c>
      <c r="F44" s="16"/>
      <c r="G44" s="16"/>
      <c r="H44" s="16"/>
    </row>
    <row r="47" spans="1:11" x14ac:dyDescent="0.4">
      <c r="F47" t="s">
        <v>34</v>
      </c>
      <c r="G47" t="s">
        <v>35</v>
      </c>
    </row>
    <row r="48" spans="1:11" x14ac:dyDescent="0.4">
      <c r="G48" t="s">
        <v>196</v>
      </c>
    </row>
    <row r="50" spans="3:10" x14ac:dyDescent="0.4">
      <c r="F50" t="s">
        <v>36</v>
      </c>
      <c r="G50" t="s">
        <v>37</v>
      </c>
    </row>
    <row r="51" spans="3:10" x14ac:dyDescent="0.4">
      <c r="G51" t="s">
        <v>38</v>
      </c>
    </row>
    <row r="53" spans="3:10" x14ac:dyDescent="0.4">
      <c r="C53" t="s">
        <v>39</v>
      </c>
      <c r="F53" t="s">
        <v>42</v>
      </c>
      <c r="I53" t="s">
        <v>44</v>
      </c>
    </row>
    <row r="54" spans="3:10" x14ac:dyDescent="0.4">
      <c r="C54" t="s">
        <v>40</v>
      </c>
      <c r="D54" t="s">
        <v>41</v>
      </c>
      <c r="F54" t="s">
        <v>40</v>
      </c>
      <c r="G54" t="s">
        <v>43</v>
      </c>
      <c r="I54" t="s">
        <v>40</v>
      </c>
      <c r="J54" t="s">
        <v>45</v>
      </c>
    </row>
    <row r="55" spans="3:10" x14ac:dyDescent="0.4">
      <c r="C55" s="3">
        <v>111</v>
      </c>
      <c r="D55" s="5">
        <v>45503</v>
      </c>
      <c r="F55" s="3">
        <v>111</v>
      </c>
      <c r="G55">
        <f ca="1">RANDBETWEEN(10000,100000)</f>
        <v>46514</v>
      </c>
      <c r="I55" s="3">
        <v>111</v>
      </c>
      <c r="J55">
        <f ca="1">RANDBETWEEN(1,100)</f>
        <v>1</v>
      </c>
    </row>
    <row r="56" spans="3:10" x14ac:dyDescent="0.4">
      <c r="C56" s="3">
        <f>C55+111</f>
        <v>222</v>
      </c>
      <c r="D56" s="5">
        <f>D55+1</f>
        <v>45504</v>
      </c>
      <c r="F56" s="3">
        <f>F55+111</f>
        <v>222</v>
      </c>
      <c r="G56">
        <f t="shared" ref="G56:G60" ca="1" si="0">RANDBETWEEN(10000,100000)</f>
        <v>61547</v>
      </c>
      <c r="I56" s="3">
        <f>I55+111</f>
        <v>222</v>
      </c>
      <c r="J56">
        <f t="shared" ref="J56:J60" ca="1" si="1">RANDBETWEEN(1,100)</f>
        <v>97</v>
      </c>
    </row>
    <row r="57" spans="3:10" x14ac:dyDescent="0.4">
      <c r="C57" s="3">
        <f t="shared" ref="C57:C60" si="2">C56+111</f>
        <v>333</v>
      </c>
      <c r="D57" s="5">
        <f t="shared" ref="D57:D60" si="3">D56+1</f>
        <v>45505</v>
      </c>
      <c r="F57" s="3">
        <f t="shared" ref="F57:F60" si="4">F56+111</f>
        <v>333</v>
      </c>
      <c r="G57">
        <f t="shared" ca="1" si="0"/>
        <v>20749</v>
      </c>
      <c r="I57" s="3">
        <f t="shared" ref="I57:I60" si="5">I56+111</f>
        <v>333</v>
      </c>
      <c r="J57">
        <f t="shared" ca="1" si="1"/>
        <v>77</v>
      </c>
    </row>
    <row r="58" spans="3:10" x14ac:dyDescent="0.4">
      <c r="C58" s="3">
        <f t="shared" si="2"/>
        <v>444</v>
      </c>
      <c r="D58" s="5">
        <f t="shared" si="3"/>
        <v>45506</v>
      </c>
      <c r="F58" s="3">
        <f t="shared" si="4"/>
        <v>444</v>
      </c>
      <c r="G58">
        <f t="shared" ca="1" si="0"/>
        <v>35803</v>
      </c>
      <c r="I58" s="3">
        <f t="shared" si="5"/>
        <v>444</v>
      </c>
      <c r="J58">
        <f t="shared" ca="1" si="1"/>
        <v>20</v>
      </c>
    </row>
    <row r="59" spans="3:10" x14ac:dyDescent="0.4">
      <c r="C59" s="3">
        <f t="shared" si="2"/>
        <v>555</v>
      </c>
      <c r="D59" s="5">
        <f t="shared" si="3"/>
        <v>45507</v>
      </c>
      <c r="F59" s="3">
        <f t="shared" si="4"/>
        <v>555</v>
      </c>
      <c r="G59">
        <f t="shared" ca="1" si="0"/>
        <v>20241</v>
      </c>
      <c r="I59" s="3">
        <f t="shared" si="5"/>
        <v>555</v>
      </c>
      <c r="J59">
        <f t="shared" ca="1" si="1"/>
        <v>17</v>
      </c>
    </row>
    <row r="60" spans="3:10" x14ac:dyDescent="0.4">
      <c r="C60" s="3">
        <f t="shared" si="2"/>
        <v>666</v>
      </c>
      <c r="D60" s="5">
        <f t="shared" si="3"/>
        <v>45508</v>
      </c>
      <c r="F60" s="3">
        <f t="shared" si="4"/>
        <v>666</v>
      </c>
      <c r="G60">
        <f t="shared" ca="1" si="0"/>
        <v>81645</v>
      </c>
      <c r="I60" s="3">
        <f t="shared" si="5"/>
        <v>666</v>
      </c>
      <c r="J60">
        <f t="shared" ca="1" si="1"/>
        <v>12</v>
      </c>
    </row>
    <row r="63" spans="3:10" x14ac:dyDescent="0.4">
      <c r="E63" t="s">
        <v>46</v>
      </c>
      <c r="F63" s="10" t="s">
        <v>43</v>
      </c>
      <c r="G63" s="10" t="s">
        <v>41</v>
      </c>
      <c r="H63" s="10" t="s">
        <v>45</v>
      </c>
    </row>
    <row r="64" spans="3:10" x14ac:dyDescent="0.4">
      <c r="E64" s="3">
        <v>111</v>
      </c>
    </row>
    <row r="65" spans="5:5" x14ac:dyDescent="0.4">
      <c r="E65" s="3">
        <f>E64+111</f>
        <v>222</v>
      </c>
    </row>
    <row r="66" spans="5:5" x14ac:dyDescent="0.4">
      <c r="E66" s="3">
        <f t="shared" ref="E66:E69" si="6">E65+111</f>
        <v>333</v>
      </c>
    </row>
    <row r="67" spans="5:5" x14ac:dyDescent="0.4">
      <c r="E67" s="3">
        <f t="shared" si="6"/>
        <v>444</v>
      </c>
    </row>
    <row r="68" spans="5:5" x14ac:dyDescent="0.4">
      <c r="E68" s="3">
        <f t="shared" si="6"/>
        <v>555</v>
      </c>
    </row>
    <row r="69" spans="5:5" x14ac:dyDescent="0.4">
      <c r="E69" s="3">
        <f t="shared" si="6"/>
        <v>666</v>
      </c>
    </row>
    <row r="71" spans="5:5" x14ac:dyDescent="0.4">
      <c r="E71" s="2" t="s">
        <v>47</v>
      </c>
    </row>
    <row r="73" spans="5:5" x14ac:dyDescent="0.4">
      <c r="E73" t="s">
        <v>48</v>
      </c>
    </row>
    <row r="74" spans="5:5" x14ac:dyDescent="0.4">
      <c r="E74" t="s">
        <v>49</v>
      </c>
    </row>
    <row r="75" spans="5:5" x14ac:dyDescent="0.4">
      <c r="E75" t="s">
        <v>50</v>
      </c>
    </row>
    <row r="76" spans="5:5" x14ac:dyDescent="0.4">
      <c r="E76" t="s">
        <v>51</v>
      </c>
    </row>
    <row r="77" spans="5:5" x14ac:dyDescent="0.4">
      <c r="E77" t="s">
        <v>52</v>
      </c>
    </row>
    <row r="78" spans="5:5" x14ac:dyDescent="0.4">
      <c r="E78" t="s">
        <v>53</v>
      </c>
    </row>
    <row r="81" spans="2:10" x14ac:dyDescent="0.4">
      <c r="E81" s="2" t="s">
        <v>54</v>
      </c>
    </row>
    <row r="83" spans="2:10" x14ac:dyDescent="0.4">
      <c r="E83" t="s">
        <v>55</v>
      </c>
      <c r="G83" t="s">
        <v>59</v>
      </c>
    </row>
    <row r="84" spans="2:10" x14ac:dyDescent="0.4">
      <c r="E84" t="s">
        <v>56</v>
      </c>
      <c r="G84" t="s">
        <v>60</v>
      </c>
    </row>
    <row r="85" spans="2:10" x14ac:dyDescent="0.4">
      <c r="E85" t="s">
        <v>57</v>
      </c>
      <c r="G85" t="s">
        <v>61</v>
      </c>
    </row>
    <row r="86" spans="2:10" x14ac:dyDescent="0.4">
      <c r="E86" t="s">
        <v>58</v>
      </c>
      <c r="G86" t="s">
        <v>62</v>
      </c>
    </row>
    <row r="89" spans="2:10" x14ac:dyDescent="0.4">
      <c r="E89" t="s">
        <v>63</v>
      </c>
      <c r="G89" t="s">
        <v>64</v>
      </c>
    </row>
    <row r="90" spans="2:10" x14ac:dyDescent="0.4">
      <c r="E90" t="s">
        <v>65</v>
      </c>
      <c r="G90" t="s">
        <v>66</v>
      </c>
    </row>
    <row r="91" spans="2:10" x14ac:dyDescent="0.4">
      <c r="E91" t="s">
        <v>67</v>
      </c>
      <c r="G91" t="s">
        <v>68</v>
      </c>
    </row>
    <row r="93" spans="2:10" x14ac:dyDescent="0.4">
      <c r="E93" t="s">
        <v>11</v>
      </c>
      <c r="G93" t="s">
        <v>191</v>
      </c>
    </row>
    <row r="95" spans="2:10" x14ac:dyDescent="0.4">
      <c r="B95" s="17" t="s">
        <v>69</v>
      </c>
      <c r="C95" s="17"/>
      <c r="D95" s="17"/>
      <c r="E95" s="17"/>
      <c r="F95" s="17"/>
      <c r="G95" s="17"/>
      <c r="H95" s="17"/>
      <c r="I95" s="17"/>
      <c r="J95" s="17"/>
    </row>
    <row r="98" spans="4:9" x14ac:dyDescent="0.4">
      <c r="D98" t="s">
        <v>70</v>
      </c>
      <c r="E98" s="18" t="s">
        <v>71</v>
      </c>
      <c r="F98" t="s">
        <v>72</v>
      </c>
      <c r="G98" t="s">
        <v>75</v>
      </c>
    </row>
    <row r="99" spans="4:9" x14ac:dyDescent="0.4">
      <c r="E99" s="18"/>
      <c r="F99" s="6" t="s">
        <v>73</v>
      </c>
      <c r="G99" t="s">
        <v>76</v>
      </c>
    </row>
    <row r="100" spans="4:9" x14ac:dyDescent="0.4">
      <c r="E100" s="18"/>
      <c r="F100" t="s">
        <v>74</v>
      </c>
      <c r="G100" t="s">
        <v>77</v>
      </c>
    </row>
    <row r="103" spans="4:9" x14ac:dyDescent="0.4">
      <c r="D103" t="s">
        <v>78</v>
      </c>
      <c r="H103" t="s">
        <v>78</v>
      </c>
      <c r="I103" t="s">
        <v>79</v>
      </c>
    </row>
    <row r="105" spans="4:9" x14ac:dyDescent="0.4">
      <c r="D105" t="s">
        <v>78</v>
      </c>
      <c r="H105" t="s">
        <v>80</v>
      </c>
      <c r="I105" t="s">
        <v>81</v>
      </c>
    </row>
    <row r="107" spans="4:9" x14ac:dyDescent="0.4">
      <c r="E107" t="s">
        <v>82</v>
      </c>
    </row>
    <row r="108" spans="4:9" x14ac:dyDescent="0.4">
      <c r="E108" t="s">
        <v>83</v>
      </c>
    </row>
    <row r="109" spans="4:9" x14ac:dyDescent="0.4">
      <c r="E109" t="s">
        <v>84</v>
      </c>
    </row>
    <row r="110" spans="4:9" x14ac:dyDescent="0.4">
      <c r="E110" t="s">
        <v>85</v>
      </c>
    </row>
    <row r="111" spans="4:9" x14ac:dyDescent="0.4">
      <c r="E111" t="s">
        <v>86</v>
      </c>
    </row>
    <row r="112" spans="4:9" x14ac:dyDescent="0.4">
      <c r="E112" t="s">
        <v>87</v>
      </c>
    </row>
    <row r="113" spans="5:8" x14ac:dyDescent="0.4">
      <c r="E113" t="s">
        <v>88</v>
      </c>
    </row>
    <row r="114" spans="5:8" x14ac:dyDescent="0.4">
      <c r="E114" t="s">
        <v>89</v>
      </c>
    </row>
    <row r="115" spans="5:8" x14ac:dyDescent="0.4">
      <c r="E115" s="7" t="s">
        <v>90</v>
      </c>
    </row>
    <row r="116" spans="5:8" x14ac:dyDescent="0.4">
      <c r="E116" t="s">
        <v>91</v>
      </c>
      <c r="F116" t="s">
        <v>92</v>
      </c>
    </row>
    <row r="119" spans="5:8" x14ac:dyDescent="0.4">
      <c r="E119" s="7" t="s">
        <v>90</v>
      </c>
      <c r="F119" t="s">
        <v>93</v>
      </c>
    </row>
    <row r="122" spans="5:8" x14ac:dyDescent="0.4">
      <c r="E122" s="19" t="s">
        <v>11</v>
      </c>
      <c r="F122" t="s">
        <v>94</v>
      </c>
    </row>
    <row r="123" spans="5:8" x14ac:dyDescent="0.4">
      <c r="E123" s="19"/>
      <c r="F123" t="s">
        <v>95</v>
      </c>
    </row>
    <row r="126" spans="5:8" x14ac:dyDescent="0.4">
      <c r="E126" s="12" t="s">
        <v>96</v>
      </c>
      <c r="F126" s="1" t="s">
        <v>97</v>
      </c>
      <c r="G126" s="1" t="s">
        <v>98</v>
      </c>
      <c r="H126" s="1"/>
    </row>
    <row r="127" spans="5:8" x14ac:dyDescent="0.4">
      <c r="E127" s="12"/>
      <c r="F127" t="s">
        <v>99</v>
      </c>
      <c r="G127" t="s">
        <v>100</v>
      </c>
    </row>
    <row r="128" spans="5:8" x14ac:dyDescent="0.4">
      <c r="G128" t="s">
        <v>180</v>
      </c>
    </row>
    <row r="130" spans="5:7" x14ac:dyDescent="0.4">
      <c r="E130" s="12" t="s">
        <v>97</v>
      </c>
      <c r="F130" t="s">
        <v>101</v>
      </c>
      <c r="G130" t="s">
        <v>103</v>
      </c>
    </row>
    <row r="131" spans="5:7" x14ac:dyDescent="0.4">
      <c r="E131" s="12"/>
      <c r="F131" t="s">
        <v>102</v>
      </c>
      <c r="G131" t="s">
        <v>104</v>
      </c>
    </row>
    <row r="134" spans="5:7" x14ac:dyDescent="0.4">
      <c r="E134" s="2" t="s">
        <v>105</v>
      </c>
    </row>
    <row r="136" spans="5:7" x14ac:dyDescent="0.4">
      <c r="E136">
        <v>2012</v>
      </c>
    </row>
    <row r="137" spans="5:7" x14ac:dyDescent="0.4">
      <c r="E137">
        <v>2014</v>
      </c>
    </row>
    <row r="138" spans="5:7" x14ac:dyDescent="0.4">
      <c r="E138">
        <v>2016</v>
      </c>
      <c r="G138" t="s">
        <v>106</v>
      </c>
    </row>
    <row r="139" spans="5:7" x14ac:dyDescent="0.4">
      <c r="E139">
        <v>2017</v>
      </c>
    </row>
    <row r="140" spans="5:7" x14ac:dyDescent="0.4">
      <c r="E140">
        <v>2019</v>
      </c>
      <c r="G140" t="s">
        <v>107</v>
      </c>
    </row>
    <row r="141" spans="5:7" x14ac:dyDescent="0.4">
      <c r="E141">
        <v>2021</v>
      </c>
      <c r="G141" t="s">
        <v>88</v>
      </c>
    </row>
    <row r="142" spans="5:7" x14ac:dyDescent="0.4">
      <c r="E142" s="7">
        <v>2022</v>
      </c>
      <c r="G142" t="s">
        <v>192</v>
      </c>
    </row>
    <row r="143" spans="5:7" x14ac:dyDescent="0.4">
      <c r="E143">
        <v>2024</v>
      </c>
    </row>
    <row r="152" spans="2:11" x14ac:dyDescent="0.4">
      <c r="I152" s="7" t="s">
        <v>108</v>
      </c>
      <c r="J152" s="6" t="s">
        <v>113</v>
      </c>
    </row>
    <row r="153" spans="2:11" x14ac:dyDescent="0.4">
      <c r="I153" s="7" t="s">
        <v>109</v>
      </c>
      <c r="J153" s="6" t="s">
        <v>114</v>
      </c>
    </row>
    <row r="154" spans="2:11" x14ac:dyDescent="0.4">
      <c r="I154" t="s">
        <v>110</v>
      </c>
      <c r="J154" t="s">
        <v>115</v>
      </c>
    </row>
    <row r="155" spans="2:11" x14ac:dyDescent="0.4">
      <c r="I155" t="s">
        <v>111</v>
      </c>
      <c r="J155" t="s">
        <v>116</v>
      </c>
      <c r="K155" t="s">
        <v>99</v>
      </c>
    </row>
    <row r="156" spans="2:11" x14ac:dyDescent="0.4">
      <c r="I156" t="s">
        <v>112</v>
      </c>
      <c r="J156" t="s">
        <v>117</v>
      </c>
    </row>
    <row r="158" spans="2:11" x14ac:dyDescent="0.4">
      <c r="B158" t="s">
        <v>124</v>
      </c>
    </row>
    <row r="159" spans="2:11" x14ac:dyDescent="0.4">
      <c r="B159" t="s">
        <v>125</v>
      </c>
      <c r="I159" t="s">
        <v>118</v>
      </c>
    </row>
    <row r="160" spans="2:11" x14ac:dyDescent="0.4">
      <c r="B160" t="s">
        <v>126</v>
      </c>
      <c r="I160" t="s">
        <v>119</v>
      </c>
    </row>
    <row r="161" spans="9:9" x14ac:dyDescent="0.4">
      <c r="I161" t="s">
        <v>120</v>
      </c>
    </row>
    <row r="162" spans="9:9" x14ac:dyDescent="0.4">
      <c r="I162" t="s">
        <v>121</v>
      </c>
    </row>
    <row r="163" spans="9:9" x14ac:dyDescent="0.4">
      <c r="I163" t="s">
        <v>122</v>
      </c>
    </row>
    <row r="164" spans="9:9" x14ac:dyDescent="0.4">
      <c r="I164" t="s">
        <v>123</v>
      </c>
    </row>
  </sheetData>
  <mergeCells count="8">
    <mergeCell ref="E126:E127"/>
    <mergeCell ref="E130:E131"/>
    <mergeCell ref="D1:K2"/>
    <mergeCell ref="H16:H17"/>
    <mergeCell ref="E44:H44"/>
    <mergeCell ref="B95:J95"/>
    <mergeCell ref="E98:E100"/>
    <mergeCell ref="E122:E1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7CB4-4BD5-41E8-9AE6-2EC6EB0798F8}">
  <dimension ref="B1:K34"/>
  <sheetViews>
    <sheetView topLeftCell="B17" workbookViewId="0">
      <selection activeCell="H18" sqref="H18:H32"/>
    </sheetView>
  </sheetViews>
  <sheetFormatPr defaultRowHeight="21" x14ac:dyDescent="0.4"/>
  <cols>
    <col min="6" max="6" width="17.7109375" customWidth="1"/>
    <col min="7" max="7" width="23.78515625" customWidth="1"/>
    <col min="8" max="8" width="17.28515625" customWidth="1"/>
    <col min="9" max="9" width="11.7109375" customWidth="1"/>
  </cols>
  <sheetData>
    <row r="1" spans="2:11" x14ac:dyDescent="0.4">
      <c r="C1" s="20" t="s">
        <v>127</v>
      </c>
      <c r="D1" s="20"/>
      <c r="E1" s="20"/>
      <c r="F1" s="20"/>
      <c r="G1" s="20"/>
      <c r="H1" s="20"/>
      <c r="I1" s="20"/>
      <c r="J1" s="20"/>
      <c r="K1" s="20"/>
    </row>
    <row r="2" spans="2:11" x14ac:dyDescent="0.4">
      <c r="C2" s="20"/>
      <c r="D2" s="20"/>
      <c r="E2" s="20"/>
      <c r="F2" s="20"/>
      <c r="G2" s="20"/>
      <c r="H2" s="20"/>
      <c r="I2" s="20"/>
      <c r="J2" s="20"/>
      <c r="K2" s="20"/>
    </row>
    <row r="4" spans="2:11" x14ac:dyDescent="0.4">
      <c r="B4" t="s">
        <v>197</v>
      </c>
    </row>
    <row r="5" spans="2:11" x14ac:dyDescent="0.4">
      <c r="F5" t="s">
        <v>65</v>
      </c>
      <c r="H5">
        <v>1989</v>
      </c>
      <c r="I5" t="s">
        <v>128</v>
      </c>
      <c r="J5" t="s">
        <v>129</v>
      </c>
    </row>
    <row r="6" spans="2:11" x14ac:dyDescent="0.4">
      <c r="H6">
        <v>1992</v>
      </c>
      <c r="I6" t="s">
        <v>130</v>
      </c>
      <c r="J6" t="s">
        <v>131</v>
      </c>
    </row>
    <row r="7" spans="2:11" x14ac:dyDescent="0.4">
      <c r="F7" s="2" t="s">
        <v>181</v>
      </c>
    </row>
    <row r="9" spans="2:11" x14ac:dyDescent="0.4">
      <c r="F9" s="6" t="s">
        <v>182</v>
      </c>
    </row>
    <row r="10" spans="2:11" x14ac:dyDescent="0.4">
      <c r="F10" s="6" t="s">
        <v>183</v>
      </c>
    </row>
    <row r="11" spans="2:11" x14ac:dyDescent="0.4">
      <c r="F11" t="s">
        <v>184</v>
      </c>
    </row>
    <row r="12" spans="2:11" x14ac:dyDescent="0.4">
      <c r="F12" t="s">
        <v>185</v>
      </c>
    </row>
    <row r="13" spans="2:11" x14ac:dyDescent="0.4">
      <c r="F13" t="s">
        <v>186</v>
      </c>
    </row>
    <row r="14" spans="2:11" x14ac:dyDescent="0.4">
      <c r="F14" t="s">
        <v>187</v>
      </c>
    </row>
    <row r="18" spans="3:8" x14ac:dyDescent="0.4">
      <c r="F18" s="8" t="s">
        <v>132</v>
      </c>
      <c r="G18" s="8" t="s">
        <v>133</v>
      </c>
      <c r="H18" s="8" t="s">
        <v>65</v>
      </c>
    </row>
    <row r="19" spans="3:8" x14ac:dyDescent="0.4">
      <c r="F19" t="s">
        <v>134</v>
      </c>
      <c r="G19" t="s">
        <v>136</v>
      </c>
      <c r="H19" t="s">
        <v>135</v>
      </c>
    </row>
    <row r="20" spans="3:8" x14ac:dyDescent="0.4">
      <c r="C20" t="s">
        <v>193</v>
      </c>
      <c r="D20" t="s">
        <v>158</v>
      </c>
      <c r="F20" t="s">
        <v>137</v>
      </c>
      <c r="G20" t="s">
        <v>138</v>
      </c>
      <c r="H20" t="s">
        <v>135</v>
      </c>
    </row>
    <row r="21" spans="3:8" x14ac:dyDescent="0.4">
      <c r="C21" t="s">
        <v>194</v>
      </c>
      <c r="D21" t="s">
        <v>195</v>
      </c>
      <c r="F21" t="s">
        <v>139</v>
      </c>
      <c r="G21" t="s">
        <v>135</v>
      </c>
      <c r="H21" t="s">
        <v>135</v>
      </c>
    </row>
    <row r="22" spans="3:8" x14ac:dyDescent="0.4">
      <c r="C22" t="s">
        <v>74</v>
      </c>
      <c r="D22" t="s">
        <v>160</v>
      </c>
      <c r="F22" t="s">
        <v>140</v>
      </c>
      <c r="G22" t="s">
        <v>135</v>
      </c>
      <c r="H22" t="s">
        <v>138</v>
      </c>
    </row>
    <row r="23" spans="3:8" x14ac:dyDescent="0.4">
      <c r="F23" t="s">
        <v>101</v>
      </c>
      <c r="G23" t="s">
        <v>136</v>
      </c>
      <c r="H23" t="s">
        <v>135</v>
      </c>
    </row>
    <row r="24" spans="3:8" x14ac:dyDescent="0.4">
      <c r="F24" t="s">
        <v>102</v>
      </c>
      <c r="G24" t="s">
        <v>135</v>
      </c>
      <c r="H24" t="s">
        <v>138</v>
      </c>
    </row>
    <row r="25" spans="3:8" x14ac:dyDescent="0.4">
      <c r="F25" t="s">
        <v>141</v>
      </c>
      <c r="G25" t="s">
        <v>138</v>
      </c>
      <c r="H25" t="s">
        <v>135</v>
      </c>
    </row>
    <row r="26" spans="3:8" x14ac:dyDescent="0.4">
      <c r="F26" t="s">
        <v>142</v>
      </c>
      <c r="G26" t="s">
        <v>138</v>
      </c>
      <c r="H26" t="s">
        <v>135</v>
      </c>
    </row>
    <row r="27" spans="3:8" x14ac:dyDescent="0.4">
      <c r="F27" t="s">
        <v>143</v>
      </c>
      <c r="G27" t="s">
        <v>138</v>
      </c>
      <c r="H27" t="s">
        <v>135</v>
      </c>
    </row>
    <row r="28" spans="3:8" x14ac:dyDescent="0.4">
      <c r="F28" t="s">
        <v>144</v>
      </c>
      <c r="G28" t="s">
        <v>138</v>
      </c>
      <c r="H28" t="s">
        <v>135</v>
      </c>
    </row>
    <row r="29" spans="3:8" x14ac:dyDescent="0.4">
      <c r="F29" t="s">
        <v>145</v>
      </c>
      <c r="G29" t="s">
        <v>138</v>
      </c>
      <c r="H29" t="s">
        <v>135</v>
      </c>
    </row>
    <row r="30" spans="3:8" x14ac:dyDescent="0.4">
      <c r="F30" t="s">
        <v>146</v>
      </c>
      <c r="G30" t="s">
        <v>135</v>
      </c>
      <c r="H30" t="s">
        <v>138</v>
      </c>
    </row>
    <row r="31" spans="3:8" x14ac:dyDescent="0.4">
      <c r="F31" t="s">
        <v>147</v>
      </c>
      <c r="G31" t="s">
        <v>135</v>
      </c>
      <c r="H31" t="s">
        <v>148</v>
      </c>
    </row>
    <row r="32" spans="3:8" x14ac:dyDescent="0.4">
      <c r="F32" t="s">
        <v>149</v>
      </c>
      <c r="G32" t="s">
        <v>150</v>
      </c>
      <c r="H32" t="s">
        <v>151</v>
      </c>
    </row>
    <row r="33" spans="6:8" x14ac:dyDescent="0.4">
      <c r="F33" t="s">
        <v>152</v>
      </c>
      <c r="G33">
        <v>150000</v>
      </c>
      <c r="H33">
        <v>18000</v>
      </c>
    </row>
    <row r="34" spans="6:8" x14ac:dyDescent="0.4">
      <c r="F34" t="s">
        <v>153</v>
      </c>
      <c r="G34" t="s">
        <v>154</v>
      </c>
      <c r="H34" t="s">
        <v>155</v>
      </c>
    </row>
  </sheetData>
  <mergeCells count="1">
    <mergeCell ref="C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2365-24A3-4668-A8A3-D23C21FA66FC}">
  <dimension ref="D1:L47"/>
  <sheetViews>
    <sheetView tabSelected="1" workbookViewId="0">
      <selection activeCell="D1" sqref="D1:J2"/>
    </sheetView>
  </sheetViews>
  <sheetFormatPr defaultRowHeight="21" x14ac:dyDescent="0.4"/>
  <cols>
    <col min="6" max="6" width="25" customWidth="1"/>
  </cols>
  <sheetData>
    <row r="1" spans="4:10" x14ac:dyDescent="0.4">
      <c r="D1" s="21" t="s">
        <v>156</v>
      </c>
      <c r="E1" s="21"/>
      <c r="F1" s="21"/>
      <c r="G1" s="21"/>
      <c r="H1" s="21"/>
      <c r="I1" s="21"/>
      <c r="J1" s="21"/>
    </row>
    <row r="2" spans="4:10" x14ac:dyDescent="0.4">
      <c r="D2" s="21"/>
      <c r="E2" s="21"/>
      <c r="F2" s="21"/>
      <c r="G2" s="21"/>
      <c r="H2" s="21"/>
      <c r="I2" s="21"/>
      <c r="J2" s="21"/>
    </row>
    <row r="5" spans="4:10" x14ac:dyDescent="0.4">
      <c r="F5" s="12" t="s">
        <v>157</v>
      </c>
      <c r="G5" t="s">
        <v>158</v>
      </c>
    </row>
    <row r="6" spans="4:10" x14ac:dyDescent="0.4">
      <c r="F6" s="12"/>
      <c r="G6" t="s">
        <v>159</v>
      </c>
    </row>
    <row r="7" spans="4:10" x14ac:dyDescent="0.4">
      <c r="F7" s="12"/>
      <c r="G7" t="s">
        <v>160</v>
      </c>
    </row>
    <row r="9" spans="4:10" x14ac:dyDescent="0.4">
      <c r="F9" s="2" t="s">
        <v>161</v>
      </c>
    </row>
    <row r="11" spans="4:10" x14ac:dyDescent="0.4">
      <c r="F11" t="s">
        <v>162</v>
      </c>
    </row>
    <row r="12" spans="4:10" x14ac:dyDescent="0.4">
      <c r="F12" t="s">
        <v>163</v>
      </c>
    </row>
    <row r="13" spans="4:10" x14ac:dyDescent="0.4">
      <c r="F13" t="s">
        <v>164</v>
      </c>
    </row>
    <row r="14" spans="4:10" x14ac:dyDescent="0.4">
      <c r="F14" t="s">
        <v>165</v>
      </c>
    </row>
    <row r="15" spans="4:10" x14ac:dyDescent="0.4">
      <c r="F15" t="s">
        <v>166</v>
      </c>
    </row>
    <row r="16" spans="4:10" x14ac:dyDescent="0.4">
      <c r="F16" t="s">
        <v>198</v>
      </c>
      <c r="G16" t="s">
        <v>199</v>
      </c>
      <c r="J16" t="s">
        <v>28</v>
      </c>
    </row>
    <row r="20" spans="6:12" x14ac:dyDescent="0.4">
      <c r="K20" t="s">
        <v>144</v>
      </c>
    </row>
    <row r="23" spans="6:12" x14ac:dyDescent="0.4">
      <c r="K23" t="s">
        <v>21</v>
      </c>
    </row>
    <row r="27" spans="6:12" x14ac:dyDescent="0.4">
      <c r="L27" t="s">
        <v>167</v>
      </c>
    </row>
    <row r="30" spans="6:12" x14ac:dyDescent="0.4">
      <c r="F30" s="2" t="s">
        <v>168</v>
      </c>
      <c r="G30" t="s">
        <v>200</v>
      </c>
    </row>
    <row r="31" spans="6:12" x14ac:dyDescent="0.4">
      <c r="F31" t="s">
        <v>169</v>
      </c>
      <c r="G31" t="s">
        <v>201</v>
      </c>
    </row>
    <row r="32" spans="6:12" x14ac:dyDescent="0.4">
      <c r="F32" t="s">
        <v>170</v>
      </c>
      <c r="G32" t="s">
        <v>202</v>
      </c>
    </row>
    <row r="33" spans="6:7" x14ac:dyDescent="0.4">
      <c r="F33" t="s">
        <v>171</v>
      </c>
      <c r="G33" t="s">
        <v>135</v>
      </c>
    </row>
    <row r="34" spans="6:7" x14ac:dyDescent="0.4">
      <c r="F34" t="s">
        <v>172</v>
      </c>
      <c r="G34">
        <v>1200</v>
      </c>
    </row>
    <row r="36" spans="6:7" x14ac:dyDescent="0.4">
      <c r="F36" s="1" t="s">
        <v>173</v>
      </c>
      <c r="G36" s="1" t="s">
        <v>174</v>
      </c>
    </row>
    <row r="37" spans="6:7" x14ac:dyDescent="0.4">
      <c r="G37" s="9" t="s">
        <v>175</v>
      </c>
    </row>
    <row r="38" spans="6:7" x14ac:dyDescent="0.4">
      <c r="F38" t="s">
        <v>189</v>
      </c>
    </row>
    <row r="39" spans="6:7" x14ac:dyDescent="0.4">
      <c r="F39" t="s">
        <v>190</v>
      </c>
    </row>
    <row r="41" spans="6:7" x14ac:dyDescent="0.4">
      <c r="F41" t="s">
        <v>188</v>
      </c>
    </row>
    <row r="47" spans="6:7" x14ac:dyDescent="0.4">
      <c r="F47" s="11"/>
    </row>
  </sheetData>
  <mergeCells count="2">
    <mergeCell ref="D1:J2"/>
    <mergeCell ref="F5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Server</vt:lpstr>
      <vt:lpstr>MS Access</vt:lpstr>
      <vt:lpstr>Azure Data Factory (ADF)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2024-07-30T15:01:14Z</dcterms:created>
  <dcterms:modified xsi:type="dcterms:W3CDTF">2025-04-15T15:53:23Z</dcterms:modified>
</cp:coreProperties>
</file>