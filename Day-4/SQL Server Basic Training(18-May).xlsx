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ma\OneDrive - Maati\Desktop\2025\May\18-May\SQL Server Basic Training(18-May)\"/>
    </mc:Choice>
  </mc:AlternateContent>
  <xr:revisionPtr revIDLastSave="0" documentId="13_ncr:1_{6E5717C8-3C4B-4C43-8707-8E8E00A686ED}" xr6:coauthVersionLast="47" xr6:coauthVersionMax="47" xr10:uidLastSave="{00000000-0000-0000-0000-000000000000}"/>
  <bookViews>
    <workbookView xWindow="-108" yWindow="-108" windowWidth="23256" windowHeight="12456" xr2:uid="{B4AC969E-6343-4EE8-8D56-921C89890C90}"/>
  </bookViews>
  <sheets>
    <sheet name="Sheet1" sheetId="1" r:id="rId1"/>
    <sheet name="Sheet2" sheetId="2" r:id="rId2"/>
    <sheet name="HomeTask" sheetId="3" r:id="rId3"/>
    <sheet name="Sheet4" sheetId="4" r:id="rId4"/>
    <sheet name="Sheet3" sheetId="5" r:id="rId5"/>
    <sheet name="Sheet5" sheetId="6" r:id="rId6"/>
  </sheets>
  <definedNames>
    <definedName name="_xlnm._FilterDatabase" localSheetId="2" hidden="1">HomeTask!$A$1:$B$15</definedName>
    <definedName name="_xlnm._FilterDatabase" localSheetId="1" hidden="1">Sheet2!$B$14:$B$40</definedName>
    <definedName name="_xlnm._FilterDatabase" localSheetId="3" hidden="1">Sheet4!$E$1:$F$12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2" l="1"/>
  <c r="Q21" i="2"/>
  <c r="Q19" i="2"/>
  <c r="H17" i="5"/>
  <c r="I17" i="5"/>
  <c r="J17" i="5"/>
  <c r="G17" i="5"/>
  <c r="H15" i="5"/>
  <c r="I15" i="5"/>
  <c r="J15" i="5"/>
  <c r="G15" i="5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2" i="3"/>
  <c r="M5" i="4" l="1"/>
  <c r="M6" i="4"/>
  <c r="M7" i="4"/>
  <c r="M4" i="4"/>
  <c r="L5" i="4"/>
  <c r="L6" i="4"/>
  <c r="L7" i="4"/>
  <c r="L4" i="4"/>
  <c r="F3" i="4"/>
  <c r="F4" i="4"/>
  <c r="F5" i="4"/>
  <c r="F6" i="4"/>
  <c r="F7" i="4"/>
  <c r="F8" i="4"/>
  <c r="F9" i="4"/>
  <c r="F10" i="4"/>
  <c r="F11" i="4"/>
  <c r="F12" i="4"/>
  <c r="F2" i="4"/>
  <c r="F18" i="2"/>
  <c r="E10" i="2"/>
  <c r="E11" i="2"/>
  <c r="E12" i="2"/>
  <c r="E9" i="2"/>
</calcChain>
</file>

<file path=xl/sharedStrings.xml><?xml version="1.0" encoding="utf-8"?>
<sst xmlns="http://schemas.openxmlformats.org/spreadsheetml/2006/main" count="588" uniqueCount="388">
  <si>
    <t>QUERY OPTIMIZATION</t>
  </si>
  <si>
    <t>SQL</t>
  </si>
  <si>
    <t>Stuctured</t>
  </si>
  <si>
    <t>Query</t>
  </si>
  <si>
    <t>Langauge</t>
  </si>
  <si>
    <t>User</t>
  </si>
  <si>
    <t>System</t>
  </si>
  <si>
    <t>Easy</t>
  </si>
  <si>
    <t>Complex</t>
  </si>
  <si>
    <t>Query is a most powerful features of Microsoft SQL which use to transct information with Database</t>
  </si>
  <si>
    <t>Types of Query</t>
  </si>
  <si>
    <t xml:space="preserve">1). DQL </t>
  </si>
  <si>
    <t>Data Query Langauge</t>
  </si>
  <si>
    <t xml:space="preserve">Ex. Select </t>
  </si>
  <si>
    <t>2). DDL</t>
  </si>
  <si>
    <t>Data Definition Langauge</t>
  </si>
  <si>
    <t>Ex Create,Alter,Drop,Truncat</t>
  </si>
  <si>
    <t>3). DML</t>
  </si>
  <si>
    <t>Data Manuplation Language</t>
  </si>
  <si>
    <t>Ex. Insert,Update,Delete</t>
  </si>
  <si>
    <t>4). DCL</t>
  </si>
  <si>
    <t>Data Control Langauge</t>
  </si>
  <si>
    <t>Ex. Grant,Revoke,Deny etc</t>
  </si>
  <si>
    <t xml:space="preserve">5). TCL </t>
  </si>
  <si>
    <t>Tranact Control Langauge</t>
  </si>
  <si>
    <t>DQL (Data Query Langauge)</t>
  </si>
  <si>
    <t>Syntax</t>
  </si>
  <si>
    <t>Simple Query</t>
  </si>
  <si>
    <t>Unique record</t>
  </si>
  <si>
    <t xml:space="preserve">Conditional </t>
  </si>
  <si>
    <t>&gt;</t>
  </si>
  <si>
    <t>&lt;</t>
  </si>
  <si>
    <t>=</t>
  </si>
  <si>
    <t>&lt;&gt;</t>
  </si>
  <si>
    <t>&gt;=</t>
  </si>
  <si>
    <t>&lt;=</t>
  </si>
  <si>
    <t>IN</t>
  </si>
  <si>
    <t>NOT IN</t>
  </si>
  <si>
    <t>LIKE</t>
  </si>
  <si>
    <t xml:space="preserve">Logical </t>
  </si>
  <si>
    <t>AND</t>
  </si>
  <si>
    <t>OR</t>
  </si>
  <si>
    <t>Between</t>
  </si>
  <si>
    <t>Sorting Result</t>
  </si>
  <si>
    <t>Summarized Report</t>
  </si>
  <si>
    <t>Pivot Report</t>
  </si>
  <si>
    <t>Report filter</t>
  </si>
  <si>
    <t>BASIC QUERY</t>
  </si>
  <si>
    <t>Status</t>
  </si>
  <si>
    <t>SQL SELECT Statement</t>
  </si>
  <si>
    <t>SQL Particular Field</t>
  </si>
  <si>
    <t> SQL AND</t>
  </si>
  <si>
    <t>SQL OR</t>
  </si>
  <si>
    <t>Company Question Paper (Sapient)</t>
  </si>
  <si>
    <t>Query with Group by</t>
  </si>
  <si>
    <t> SQL IN</t>
  </si>
  <si>
    <t>SQL NOT IN</t>
  </si>
  <si>
    <t> SQL BETWEEN</t>
  </si>
  <si>
    <t> SQL Wildcard</t>
  </si>
  <si>
    <t> SQL LIKE</t>
  </si>
  <si>
    <t>SQL NOT</t>
  </si>
  <si>
    <t>Question Paper</t>
  </si>
  <si>
    <t> SQL ORDER BY</t>
  </si>
  <si>
    <t>SQL Exists</t>
  </si>
  <si>
    <t>SQL TOP</t>
  </si>
  <si>
    <t>SQL LIMIT</t>
  </si>
  <si>
    <t>SQL ROW NUM</t>
  </si>
  <si>
    <t>SQL ISNULL</t>
  </si>
  <si>
    <t>SQL IS Not NULL</t>
  </si>
  <si>
    <t>UHG Interview Question</t>
  </si>
  <si>
    <t>Query with Other Database</t>
  </si>
  <si>
    <t>SQL Union</t>
  </si>
  <si>
    <t>SQL Union All</t>
  </si>
  <si>
    <t>SQL Intersect</t>
  </si>
  <si>
    <t>SQL Except</t>
  </si>
  <si>
    <t>QUIZ-2</t>
  </si>
  <si>
    <t> SQL Aggregate Functions</t>
  </si>
  <si>
    <t> SQL Average</t>
  </si>
  <si>
    <t> SQL COUNT</t>
  </si>
  <si>
    <t> SQL MAX</t>
  </si>
  <si>
    <t> SQL MIN</t>
  </si>
  <si>
    <t> SQL SUM</t>
  </si>
  <si>
    <t> SQL GROUP BY</t>
  </si>
  <si>
    <t>SQL with PIVOT</t>
  </si>
  <si>
    <t>QUIZ-3</t>
  </si>
  <si>
    <t> SQL HAVING</t>
  </si>
  <si>
    <t>SQL CONCATENATE</t>
  </si>
  <si>
    <t> SQL SUBSTRING (Mid)</t>
  </si>
  <si>
    <t xml:space="preserve">Left </t>
  </si>
  <si>
    <t>Right</t>
  </si>
  <si>
    <t>CHARINDEX (Find)</t>
  </si>
  <si>
    <t>SQL LTRIM</t>
  </si>
  <si>
    <t>SQL RTRIM</t>
  </si>
  <si>
    <t> SQL LEN</t>
  </si>
  <si>
    <t> SQL REPLACE</t>
  </si>
  <si>
    <t> SQL ALIAS</t>
  </si>
  <si>
    <t> SQL AS</t>
  </si>
  <si>
    <t>SQL Full Join</t>
  </si>
  <si>
    <t> SQL INNER JOIN</t>
  </si>
  <si>
    <t> SQL Right OUTER JOIN</t>
  </si>
  <si>
    <t> SQL LEFT OUTER JOIN</t>
  </si>
  <si>
    <t> SQL CROSS JOIN</t>
  </si>
  <si>
    <t>SQL Self Join</t>
  </si>
  <si>
    <t> SQL ROUND</t>
  </si>
  <si>
    <t> SQL CONVERT</t>
  </si>
  <si>
    <t>SQL REVERSE</t>
  </si>
  <si>
    <t>To See List of Table</t>
  </si>
  <si>
    <t>To See database details</t>
  </si>
  <si>
    <t>Date Time Function (20 Function)</t>
  </si>
  <si>
    <t>Normalization/de-normalization</t>
  </si>
  <si>
    <t>Index</t>
  </si>
  <si>
    <t>View</t>
  </si>
  <si>
    <t>Execute Query</t>
  </si>
  <si>
    <t>Select Query Range and Press F5</t>
  </si>
  <si>
    <t>----</t>
  </si>
  <si>
    <t>Bulk Commnet</t>
  </si>
  <si>
    <t>/*….............................................................*/</t>
  </si>
  <si>
    <t>Comment</t>
  </si>
  <si>
    <t>WildCard Example</t>
  </si>
  <si>
    <t>Wild Card</t>
  </si>
  <si>
    <t>?</t>
  </si>
  <si>
    <t>*</t>
  </si>
  <si>
    <t>Vlookup With Wild Card</t>
  </si>
  <si>
    <t>My white shirt is dirty</t>
  </si>
  <si>
    <t>Sky color is Blue</t>
  </si>
  <si>
    <t>Red is a danger Color</t>
  </si>
  <si>
    <t>Green is the symbol of Agriculture</t>
  </si>
  <si>
    <t>Color Index</t>
  </si>
  <si>
    <t>Blue</t>
  </si>
  <si>
    <t>Green</t>
  </si>
  <si>
    <t>White</t>
  </si>
  <si>
    <t>Red</t>
  </si>
  <si>
    <t>Color</t>
  </si>
  <si>
    <t>Single Character</t>
  </si>
  <si>
    <t>Multiple Character</t>
  </si>
  <si>
    <t>Excel</t>
  </si>
  <si>
    <t>Wild card</t>
  </si>
  <si>
    <t>_</t>
  </si>
  <si>
    <t>%</t>
  </si>
  <si>
    <t>EmpName</t>
  </si>
  <si>
    <t>Kabir</t>
  </si>
  <si>
    <t>Mahavir Parihar</t>
  </si>
  <si>
    <t>Kapil Kaushik</t>
  </si>
  <si>
    <t>Sam</t>
  </si>
  <si>
    <t>Deepak Singh Chauhan</t>
  </si>
  <si>
    <t>Salman Khan</t>
  </si>
  <si>
    <t>Varun malik</t>
  </si>
  <si>
    <t>Raj Kumar Singh</t>
  </si>
  <si>
    <t>Krishna Kumar</t>
  </si>
  <si>
    <t>Ram</t>
  </si>
  <si>
    <t>Naveen Jain</t>
  </si>
  <si>
    <t>Kumar Rahul</t>
  </si>
  <si>
    <t>Karishma Kapoor</t>
  </si>
  <si>
    <t>Sanjeev Garg</t>
  </si>
  <si>
    <t>RAM</t>
  </si>
  <si>
    <t>Kadar Khan</t>
  </si>
  <si>
    <t>Sanjay Kumar</t>
  </si>
  <si>
    <t>Satvir Kumar</t>
  </si>
  <si>
    <t>Arakashan</t>
  </si>
  <si>
    <t>Sanjeev /Singh</t>
  </si>
  <si>
    <t>Mohit Jain</t>
  </si>
  <si>
    <t>Radhey $shyam</t>
  </si>
  <si>
    <t>Sudhir Madhukar$</t>
  </si>
  <si>
    <t>$Sudhir Pathak</t>
  </si>
  <si>
    <t>Raj</t>
  </si>
  <si>
    <t>Akash Jain</t>
  </si>
  <si>
    <t>Total Name of 3 Characters</t>
  </si>
  <si>
    <t>WILD CARD EXAMPLE</t>
  </si>
  <si>
    <t>Name start from A</t>
  </si>
  <si>
    <t>End with R</t>
  </si>
  <si>
    <t>total count of 2nd character is a</t>
  </si>
  <si>
    <t>Total Count of Kumar</t>
  </si>
  <si>
    <t>Only Middle Name count</t>
  </si>
  <si>
    <t xml:space="preserve"> word of 3 Character</t>
  </si>
  <si>
    <t>Total Count of 2 word Name</t>
  </si>
  <si>
    <t>Total Count of 3 Word Name</t>
  </si>
  <si>
    <t>Total Count (first Name start from K &amp; Last name from k)</t>
  </si>
  <si>
    <t>Total Count (first Name Closed with n &amp; Last name Clasoed with n)</t>
  </si>
  <si>
    <t>Single Word count</t>
  </si>
  <si>
    <t>Start from A and end from N</t>
  </si>
  <si>
    <t>Select * from ['Wild Card$'] where EmpName like 'A%'</t>
  </si>
  <si>
    <t>Select * from ['Wild Card$'] where EmpName like '%r'</t>
  </si>
  <si>
    <t>Select * from ['Wild Card$'] where EmpName like '_a%'</t>
  </si>
  <si>
    <t>select EmpName from ['Wild Card$'] where Empname like '%kumar%'</t>
  </si>
  <si>
    <t>Select * from ['Wild Card$'] where EmpName like '% % %'</t>
  </si>
  <si>
    <t>Select * from ['Wild Card$'] where EmpName like '___'</t>
  </si>
  <si>
    <t>Select * from ['Wild Card$'] where EmpName like '% %' and EmpName not like '% % %'</t>
  </si>
  <si>
    <t>Select * from ['Wild Card$'] where EmpName like '%n %n'</t>
  </si>
  <si>
    <t>Select * from ['Wild Card$'] where EmpName like 'K% K%'</t>
  </si>
  <si>
    <t>Select * from ['Wild Card$'] where EmpName not like '% %'</t>
  </si>
  <si>
    <t>Select * from ['Wild Card$'] where EmpName not like '[AS]%'</t>
  </si>
  <si>
    <t>Group by in Wild Card</t>
  </si>
  <si>
    <t>Select * from ['Wild Card$'] where EmpName like '%[$\/,_-@]%'</t>
  </si>
  <si>
    <t>Display name of special character</t>
  </si>
  <si>
    <t>Select * from ['Wild Card$'] where EmpName like 'A% %n'</t>
  </si>
  <si>
    <t>,</t>
  </si>
  <si>
    <t>/</t>
  </si>
  <si>
    <t>\</t>
  </si>
  <si>
    <t>Data</t>
  </si>
  <si>
    <t>HelPCo</t>
  </si>
  <si>
    <t>Amount</t>
  </si>
  <si>
    <t>Text Criteria</t>
  </si>
  <si>
    <t>Azure</t>
  </si>
  <si>
    <t>MS Access</t>
  </si>
  <si>
    <t>Google Suite</t>
  </si>
  <si>
    <t>PowerBI</t>
  </si>
  <si>
    <t>Tableau</t>
  </si>
  <si>
    <t>Python</t>
  </si>
  <si>
    <t>SSRS</t>
  </si>
  <si>
    <t>ReportBuilder</t>
  </si>
  <si>
    <t>Cond-1</t>
  </si>
  <si>
    <t>Cond-2</t>
  </si>
  <si>
    <t>Query with Multiple Fields</t>
  </si>
  <si>
    <t>Single character</t>
  </si>
  <si>
    <t>[]</t>
  </si>
  <si>
    <t>Use for grouping</t>
  </si>
  <si>
    <t>Vertical</t>
  </si>
  <si>
    <t>Cities</t>
  </si>
  <si>
    <t>Destination</t>
  </si>
  <si>
    <t>INT</t>
  </si>
  <si>
    <t>Bangkok, Pattaya, Phuket, Koh Samui, Krabi, Chiang Mai, Chinag Rai</t>
  </si>
  <si>
    <t>Thailand</t>
  </si>
  <si>
    <t>Dubai, Abu Dhabi, Yas Island</t>
  </si>
  <si>
    <t>Dubai</t>
  </si>
  <si>
    <t>Bali, Jakarta, Indonesia</t>
  </si>
  <si>
    <t>Bali</t>
  </si>
  <si>
    <t>Vietnam, Hanoi, Halong bay, Da Nang, Ho Chi minh</t>
  </si>
  <si>
    <t>Vietnam</t>
  </si>
  <si>
    <t>Europe, Paris, Spain, Swiss, France, Scandinavia, Norway</t>
  </si>
  <si>
    <t>Europe</t>
  </si>
  <si>
    <t>London, UK, Scotland</t>
  </si>
  <si>
    <t>UK</t>
  </si>
  <si>
    <t>Singapore, Sentosa</t>
  </si>
  <si>
    <t>Singapore</t>
  </si>
  <si>
    <t>Maldives, Medhufushi</t>
  </si>
  <si>
    <t>Maldives</t>
  </si>
  <si>
    <t>Mauritius</t>
  </si>
  <si>
    <t>Mauririus</t>
  </si>
  <si>
    <t>Malaysia, Kuala lumpur, Genting, Langakawi</t>
  </si>
  <si>
    <t>Malaysia</t>
  </si>
  <si>
    <t>Sri lanka, Srilanka, Colombo, Kandy</t>
  </si>
  <si>
    <t>Sri Lanka</t>
  </si>
  <si>
    <t>DOM</t>
  </si>
  <si>
    <t>Kerala, Cochin, Munnar, Allepey, Thekkady, Alpahazou, Trivandrun, Kanyakumari, Rameshwaram</t>
  </si>
  <si>
    <t>Kerala</t>
  </si>
  <si>
    <t>Andaman, Portblair, Havelock, Neil island</t>
  </si>
  <si>
    <t>Andaman</t>
  </si>
  <si>
    <t>South India, Ooty, Coorg, Chickmanglur, Mysore, Tirupati</t>
  </si>
  <si>
    <t>South India</t>
  </si>
  <si>
    <t>Rajasthan, Jaipur, Jaisalmer, Jodhpur, Udaipur, Mewar, Ranthambore, Ajmer, Sariska</t>
  </si>
  <si>
    <t>Rajasthan</t>
  </si>
  <si>
    <t>Gujarat, Rann of Kutch, Somnath, Gir, Ahmedabad, Statue of Unity</t>
  </si>
  <si>
    <t>Gujarat</t>
  </si>
  <si>
    <t>Kashmir, Srinagar, Sonmarg, Pahalgam, Gulmarg</t>
  </si>
  <si>
    <t>Kashmir</t>
  </si>
  <si>
    <t xml:space="preserve">Leh, Ladakh, Nubra Valley, </t>
  </si>
  <si>
    <t>Ladakh</t>
  </si>
  <si>
    <t xml:space="preserve">Himachal, Shimla, Manali, Dalhousie, Dharamshala, Jibhi, </t>
  </si>
  <si>
    <t>Himachal</t>
  </si>
  <si>
    <t>City Name</t>
  </si>
  <si>
    <t>Abu Dhabi</t>
  </si>
  <si>
    <t>Ahmedabad</t>
  </si>
  <si>
    <t>Ajmer</t>
  </si>
  <si>
    <t>Allepey</t>
  </si>
  <si>
    <t>Alpahazou</t>
  </si>
  <si>
    <t>Bangkok</t>
  </si>
  <si>
    <t>Chiang Mai</t>
  </si>
  <si>
    <t>Chickmanglur</t>
  </si>
  <si>
    <t>Chinag Rai</t>
  </si>
  <si>
    <t>Cochin</t>
  </si>
  <si>
    <t>Colombo</t>
  </si>
  <si>
    <t>Coorg</t>
  </si>
  <si>
    <t>Da Nang</t>
  </si>
  <si>
    <t>Dalhousie</t>
  </si>
  <si>
    <t>Dharamshala</t>
  </si>
  <si>
    <t>France</t>
  </si>
  <si>
    <t>Genting</t>
  </si>
  <si>
    <t>Gir</t>
  </si>
  <si>
    <t>Gulmarg</t>
  </si>
  <si>
    <t>Halong bay</t>
  </si>
  <si>
    <t>Hanoi</t>
  </si>
  <si>
    <t>Havelock</t>
  </si>
  <si>
    <t>Ho Chi minh</t>
  </si>
  <si>
    <t>Indonesia</t>
  </si>
  <si>
    <t>Jaipur</t>
  </si>
  <si>
    <t>Jaisalmer</t>
  </si>
  <si>
    <t>Jakarta</t>
  </si>
  <si>
    <t>Jibhi</t>
  </si>
  <si>
    <t>Jodhpur</t>
  </si>
  <si>
    <t>Kandy</t>
  </si>
  <si>
    <t>Kanyakumari</t>
  </si>
  <si>
    <t>Koh Samui</t>
  </si>
  <si>
    <t>Krabi</t>
  </si>
  <si>
    <t>Kuala lumpur</t>
  </si>
  <si>
    <t>Langakawi</t>
  </si>
  <si>
    <t>Leh</t>
  </si>
  <si>
    <t>London</t>
  </si>
  <si>
    <t>Manali</t>
  </si>
  <si>
    <t>Medhufushi</t>
  </si>
  <si>
    <t>Mewar</t>
  </si>
  <si>
    <t>Munnar</t>
  </si>
  <si>
    <t>Mysore</t>
  </si>
  <si>
    <t>Neil island</t>
  </si>
  <si>
    <t>Norway</t>
  </si>
  <si>
    <t>Nubra Valley</t>
  </si>
  <si>
    <t>Ooty</t>
  </si>
  <si>
    <t>Pahalgam</t>
  </si>
  <si>
    <t>Paris</t>
  </si>
  <si>
    <t>Pattaya</t>
  </si>
  <si>
    <t>Phuket</t>
  </si>
  <si>
    <t>Portblair</t>
  </si>
  <si>
    <t>Rameshwaram</t>
  </si>
  <si>
    <t>Rann of Kutch</t>
  </si>
  <si>
    <t>Ranthambore</t>
  </si>
  <si>
    <t>Sariska</t>
  </si>
  <si>
    <t>Scandinavia</t>
  </si>
  <si>
    <t>Scotland</t>
  </si>
  <si>
    <t>Sentosa</t>
  </si>
  <si>
    <t>Shimla</t>
  </si>
  <si>
    <t>Somnath</t>
  </si>
  <si>
    <t>Sonmarg</t>
  </si>
  <si>
    <t>Spain</t>
  </si>
  <si>
    <t>Sri lanka</t>
  </si>
  <si>
    <t>Srilanka</t>
  </si>
  <si>
    <t>Srinagar</t>
  </si>
  <si>
    <t>Statue of Unity</t>
  </si>
  <si>
    <t>Swiss</t>
  </si>
  <si>
    <t>Thekkady</t>
  </si>
  <si>
    <t>Tirupati</t>
  </si>
  <si>
    <t>Trivandrun</t>
  </si>
  <si>
    <t>Udaipur</t>
  </si>
  <si>
    <t>Yas Island</t>
  </si>
  <si>
    <t>Country</t>
  </si>
  <si>
    <t>Example</t>
  </si>
  <si>
    <t>HomeTask</t>
  </si>
  <si>
    <t>Ex. Begin,Commit,Rollback,SavePoint</t>
  </si>
  <si>
    <t>Select *(All)/Speicific Column from  TableName</t>
  </si>
  <si>
    <t>Select Distinct FieldName from TableName</t>
  </si>
  <si>
    <t>TopNth Value</t>
  </si>
  <si>
    <t>Select Top 10 * from TableName</t>
  </si>
  <si>
    <t>Select * from TableName where FieldName='Delhi'</t>
  </si>
  <si>
    <t>S</t>
  </si>
  <si>
    <t>Q</t>
  </si>
  <si>
    <t>L</t>
  </si>
  <si>
    <t>Basic SQL Server</t>
  </si>
  <si>
    <t>T-SQL</t>
  </si>
  <si>
    <t>Transact SQL</t>
  </si>
  <si>
    <t>Adv. SQL Server</t>
  </si>
  <si>
    <t xml:space="preserve">PL SQL </t>
  </si>
  <si>
    <t>Programing Langauge SQL</t>
  </si>
  <si>
    <t>done</t>
  </si>
  <si>
    <t>SQL WHERE</t>
  </si>
  <si>
    <t>New Account Open</t>
  </si>
  <si>
    <t>ID Proof</t>
  </si>
  <si>
    <t>Address Proof</t>
  </si>
  <si>
    <t>Pan card</t>
  </si>
  <si>
    <t>Elect Bill</t>
  </si>
  <si>
    <t>Voter ID Caard</t>
  </si>
  <si>
    <t>DL</t>
  </si>
  <si>
    <t>Passport</t>
  </si>
  <si>
    <t>Adhar Card</t>
  </si>
  <si>
    <t>Ctr-1</t>
  </si>
  <si>
    <t>Ctr-2</t>
  </si>
  <si>
    <t>All</t>
  </si>
  <si>
    <t>Distinct</t>
  </si>
  <si>
    <t>Unique</t>
  </si>
  <si>
    <t>Comparision Operator</t>
  </si>
  <si>
    <t>Select * from TableName order by Amount desc,EmpName Asc</t>
  </si>
  <si>
    <t>Execute Multiple Table</t>
  </si>
  <si>
    <t>IIF Example (Single condition)</t>
  </si>
  <si>
    <t>IIF Example (Multiple Condition)</t>
  </si>
  <si>
    <t>Question Paper (UGH) (2 way)</t>
  </si>
  <si>
    <t>Use the Below Data and Prepare the 3 Summary using the Pivot.</t>
  </si>
  <si>
    <t>A</t>
  </si>
  <si>
    <t>Product Wise Total Sale Adding the Total Sale Column in Pivot</t>
  </si>
  <si>
    <t>B</t>
  </si>
  <si>
    <t>Store Wise Top2 Total Sale Adding the Total Sale Column in Pivot</t>
  </si>
  <si>
    <t>C</t>
  </si>
  <si>
    <t>Store Wise and Product Wise Total Sale Summary</t>
  </si>
  <si>
    <t xml:space="preserve">HomeTask </t>
  </si>
  <si>
    <t>ctr'</t>
  </si>
  <si>
    <t>SQL DISTINCT (Unique)</t>
  </si>
  <si>
    <t>Date</t>
  </si>
  <si>
    <t>YYYY-MM-DD</t>
  </si>
  <si>
    <t>Time</t>
  </si>
  <si>
    <t>hh:mm:ss:ms</t>
  </si>
  <si>
    <t>Number</t>
  </si>
  <si>
    <t>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</si>
</sst>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.55"/>
      <color theme="10"/>
      <name val="Calibri"/>
      <family val="2"/>
    </font>
    <font>
      <b/>
      <sz val="2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6"/>
      <color theme="10"/>
      <name val="Calibri"/>
      <family val="2"/>
    </font>
    <font>
      <u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</font>
    <font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5" fillId="2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5" fillId="7" borderId="0" applyNumberFormat="0" applyBorder="0" applyAlignment="0" applyProtection="0"/>
  </cellStyleXfs>
  <cellXfs count="82">
    <xf numFmtId="0" fontId="0" fillId="0" borderId="0" xfId="0"/>
    <xf numFmtId="0" fontId="0" fillId="4" borderId="0" xfId="0" applyFill="1"/>
    <xf numFmtId="0" fontId="0" fillId="0" borderId="12" xfId="0" applyBorder="1"/>
    <xf numFmtId="0" fontId="10" fillId="0" borderId="0" xfId="0" applyFont="1"/>
    <xf numFmtId="0" fontId="7" fillId="4" borderId="0" xfId="4" applyFill="1"/>
    <xf numFmtId="0" fontId="7" fillId="0" borderId="12" xfId="4" applyBorder="1"/>
    <xf numFmtId="0" fontId="6" fillId="0" borderId="12" xfId="4" applyFont="1" applyBorder="1"/>
    <xf numFmtId="0" fontId="12" fillId="0" borderId="14" xfId="1" applyFont="1" applyBorder="1"/>
    <xf numFmtId="0" fontId="12" fillId="0" borderId="12" xfId="1" applyFont="1" applyBorder="1"/>
    <xf numFmtId="0" fontId="6" fillId="0" borderId="13" xfId="4" applyFont="1" applyBorder="1"/>
    <xf numFmtId="0" fontId="4" fillId="0" borderId="0" xfId="0" applyFont="1"/>
    <xf numFmtId="0" fontId="16" fillId="6" borderId="12" xfId="3" applyFont="1" applyFill="1" applyBorder="1" applyAlignment="1" applyProtection="1">
      <alignment horizontal="left" vertical="top" wrapText="1"/>
    </xf>
    <xf numFmtId="0" fontId="4" fillId="0" borderId="0" xfId="0" applyFont="1" applyAlignment="1">
      <alignment wrapText="1"/>
    </xf>
    <xf numFmtId="22" fontId="4" fillId="0" borderId="0" xfId="0" applyNumberFormat="1" applyFont="1"/>
    <xf numFmtId="0" fontId="17" fillId="0" borderId="0" xfId="0" applyFont="1"/>
    <xf numFmtId="0" fontId="14" fillId="5" borderId="1" xfId="0" applyFont="1" applyFill="1" applyBorder="1"/>
    <xf numFmtId="0" fontId="14" fillId="5" borderId="3" xfId="0" applyFont="1" applyFill="1" applyBorder="1"/>
    <xf numFmtId="0" fontId="14" fillId="5" borderId="6" xfId="0" applyFont="1" applyFill="1" applyBorder="1"/>
    <xf numFmtId="0" fontId="14" fillId="5" borderId="8" xfId="0" applyFont="1" applyFill="1" applyBorder="1"/>
    <xf numFmtId="0" fontId="18" fillId="6" borderId="12" xfId="3" applyFont="1" applyFill="1" applyBorder="1" applyAlignment="1" applyProtection="1">
      <alignment horizontal="left" vertical="top" wrapText="1"/>
    </xf>
    <xf numFmtId="0" fontId="14" fillId="0" borderId="0" xfId="0" applyFont="1"/>
    <xf numFmtId="0" fontId="4" fillId="0" borderId="0" xfId="0" quotePrefix="1" applyFont="1"/>
    <xf numFmtId="0" fontId="16" fillId="6" borderId="0" xfId="3" applyFont="1" applyFill="1" applyBorder="1" applyAlignment="1" applyProtection="1">
      <alignment horizontal="left" vertical="top" wrapText="1"/>
    </xf>
    <xf numFmtId="0" fontId="17" fillId="0" borderId="0" xfId="0" applyFont="1" applyAlignment="1">
      <alignment vertical="center"/>
    </xf>
    <xf numFmtId="0" fontId="19" fillId="0" borderId="0" xfId="0" applyFont="1"/>
    <xf numFmtId="0" fontId="3" fillId="0" borderId="0" xfId="0" applyFont="1"/>
    <xf numFmtId="0" fontId="13" fillId="7" borderId="12" xfId="5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2" xfId="1" applyFont="1" applyBorder="1" applyAlignment="1">
      <alignment wrapText="1"/>
    </xf>
    <xf numFmtId="0" fontId="20" fillId="0" borderId="0" xfId="0" applyFont="1"/>
    <xf numFmtId="0" fontId="21" fillId="8" borderId="15" xfId="0" applyFont="1" applyFill="1" applyBorder="1" applyAlignment="1">
      <alignment horizontal="center"/>
    </xf>
    <xf numFmtId="0" fontId="21" fillId="8" borderId="16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18" xfId="0" applyFill="1" applyBorder="1"/>
    <xf numFmtId="0" fontId="0" fillId="10" borderId="19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2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" xfId="0" applyFont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4" borderId="1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0" xfId="1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1" borderId="12" xfId="0" applyFont="1" applyFill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14" fillId="4" borderId="0" xfId="0" applyFont="1" applyFill="1"/>
    <xf numFmtId="0" fontId="1" fillId="0" borderId="0" xfId="0" quotePrefix="1" applyFont="1"/>
    <xf numFmtId="0" fontId="0" fillId="0" borderId="0" xfId="0" applyNumberFormat="1"/>
  </cellXfs>
  <cellStyles count="6">
    <cellStyle name="Accent1" xfId="5" builtinId="29"/>
    <cellStyle name="Accent2 2" xfId="2" xr:uid="{1188A8B0-16E2-4FD2-B597-D986E2CF5CEC}"/>
    <cellStyle name="Hyperlink" xfId="3" builtinId="8"/>
    <cellStyle name="Normal" xfId="0" builtinId="0"/>
    <cellStyle name="Normal 2" xfId="1" xr:uid="{8AD3412A-A1E8-4B7D-90A3-65E826FA5BA2}"/>
    <cellStyle name="Normal 3" xfId="4" xr:uid="{058EE0FD-5E16-4697-8179-4E31A91A614A}"/>
  </cellStyles>
  <dxfs count="0"/>
  <tableStyles count="1" defaultTableStyle="TableStyleMedium2" defaultPivotStyle="PivotStyleLight16">
    <tableStyle name="Invisible" pivot="0" table="0" count="0" xr9:uid="{9AC455F7-B22F-4EA6-AD0E-F383941D2D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13</xdr:row>
      <xdr:rowOff>85725</xdr:rowOff>
    </xdr:from>
    <xdr:to>
      <xdr:col>12</xdr:col>
      <xdr:colOff>66675</xdr:colOff>
      <xdr:row>13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E8EABF-7283-6DF6-8FB3-169DB85F929C}"/>
            </a:ext>
          </a:extLst>
        </xdr:cNvPr>
        <xdr:cNvCxnSpPr/>
      </xdr:nvCxnSpPr>
      <xdr:spPr>
        <a:xfrm flipV="1">
          <a:off x="4648200" y="2000250"/>
          <a:ext cx="23907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17</xdr:row>
      <xdr:rowOff>114300</xdr:rowOff>
    </xdr:from>
    <xdr:to>
      <xdr:col>11</xdr:col>
      <xdr:colOff>990600</xdr:colOff>
      <xdr:row>17</xdr:row>
      <xdr:rowOff>133350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989FBC3-E271-0461-D985-D7FB839F24DE}"/>
            </a:ext>
          </a:extLst>
        </xdr:cNvPr>
        <xdr:cNvCxnSpPr/>
      </xdr:nvCxnSpPr>
      <xdr:spPr>
        <a:xfrm>
          <a:off x="4648200" y="2409825"/>
          <a:ext cx="231457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952500</xdr:colOff>
      <xdr:row>47</xdr:row>
      <xdr:rowOff>152400</xdr:rowOff>
    </xdr:from>
    <xdr:to>
      <xdr:col>15</xdr:col>
      <xdr:colOff>123825</xdr:colOff>
      <xdr:row>51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6DFAEAA-FA2A-05CC-CA22-D7812F008BDB}"/>
            </a:ext>
          </a:extLst>
        </xdr:cNvPr>
        <xdr:cNvCxnSpPr/>
      </xdr:nvCxnSpPr>
      <xdr:spPr>
        <a:xfrm>
          <a:off x="14058900" y="10965180"/>
          <a:ext cx="2752725" cy="967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53340</xdr:rowOff>
    </xdr:from>
    <xdr:to>
      <xdr:col>6</xdr:col>
      <xdr:colOff>193548</xdr:colOff>
      <xdr:row>9</xdr:row>
      <xdr:rowOff>53340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3B8FEB39-4CA3-E63C-1D3D-96874E034867}"/>
            </a:ext>
          </a:extLst>
        </xdr:cNvPr>
        <xdr:cNvSpPr/>
      </xdr:nvSpPr>
      <xdr:spPr>
        <a:xfrm>
          <a:off x="3185160" y="784860"/>
          <a:ext cx="665988" cy="9144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8E05-EBDF-4380-9B9C-9CE9B04BC709}">
  <dimension ref="A1:AC78"/>
  <sheetViews>
    <sheetView tabSelected="1" zoomScaleNormal="100" workbookViewId="0">
      <selection sqref="A1:B2"/>
    </sheetView>
  </sheetViews>
  <sheetFormatPr defaultRowHeight="19.95" customHeight="1" x14ac:dyDescent="0.4"/>
  <cols>
    <col min="1" max="1" width="44.109375" style="10" customWidth="1"/>
    <col min="2" max="2" width="13.6640625" style="10" customWidth="1"/>
    <col min="3" max="3" width="6.33203125" style="10" bestFit="1" customWidth="1"/>
    <col min="4" max="4" width="15.5546875" style="10" bestFit="1" customWidth="1"/>
    <col min="5" max="5" width="15.6640625" style="10" customWidth="1"/>
    <col min="6" max="9" width="8.88671875" style="10"/>
    <col min="10" max="10" width="20.88671875" style="10" customWidth="1"/>
    <col min="11" max="11" width="41.88671875" style="10" customWidth="1"/>
    <col min="12" max="12" width="15" style="10" customWidth="1"/>
    <col min="13" max="13" width="14.33203125" style="10" customWidth="1"/>
    <col min="14" max="14" width="8.88671875" style="10"/>
    <col min="15" max="15" width="14" style="10" bestFit="1" customWidth="1"/>
    <col min="16" max="16" width="12.44140625" style="10" customWidth="1"/>
    <col min="17" max="17" width="17.5546875" style="10" customWidth="1"/>
    <col min="18" max="16384" width="8.88671875" style="10"/>
  </cols>
  <sheetData>
    <row r="1" spans="1:29" ht="15" customHeight="1" x14ac:dyDescent="0.4">
      <c r="A1" s="62" t="s">
        <v>0</v>
      </c>
      <c r="B1" s="63"/>
      <c r="G1" s="49" t="s">
        <v>0</v>
      </c>
      <c r="H1" s="50"/>
      <c r="I1" s="50"/>
      <c r="J1" s="50"/>
      <c r="K1" s="50"/>
      <c r="L1" s="50"/>
      <c r="M1" s="50"/>
      <c r="N1" s="50"/>
      <c r="O1" s="50"/>
      <c r="P1" s="50"/>
      <c r="Q1" s="51"/>
    </row>
    <row r="2" spans="1:29" ht="17.399999999999999" customHeight="1" x14ac:dyDescent="0.4">
      <c r="A2" s="64"/>
      <c r="B2" s="65"/>
      <c r="G2" s="52"/>
      <c r="H2" s="53"/>
      <c r="I2" s="53"/>
      <c r="J2" s="53"/>
      <c r="K2" s="53"/>
      <c r="L2" s="53"/>
      <c r="M2" s="53"/>
      <c r="N2" s="53"/>
      <c r="O2" s="53"/>
      <c r="P2" s="53"/>
      <c r="Q2" s="54"/>
      <c r="Y2" s="45" t="s">
        <v>344</v>
      </c>
      <c r="AB2" s="45" t="s">
        <v>345</v>
      </c>
      <c r="AC2" s="45" t="s">
        <v>346</v>
      </c>
    </row>
    <row r="3" spans="1:29" ht="19.95" customHeight="1" thickBot="1" x14ac:dyDescent="0.45">
      <c r="A3" s="26" t="s">
        <v>47</v>
      </c>
      <c r="B3" s="26" t="s">
        <v>48</v>
      </c>
      <c r="G3" s="55"/>
      <c r="H3" s="56"/>
      <c r="I3" s="56"/>
      <c r="J3" s="56"/>
      <c r="K3" s="56"/>
      <c r="L3" s="56"/>
      <c r="M3" s="56"/>
      <c r="N3" s="56"/>
      <c r="O3" s="56"/>
      <c r="P3" s="56"/>
      <c r="Q3" s="57"/>
      <c r="Y3" s="45" t="s">
        <v>347</v>
      </c>
      <c r="AB3" s="45" t="s">
        <v>348</v>
      </c>
      <c r="AC3" s="45" t="s">
        <v>349</v>
      </c>
    </row>
    <row r="4" spans="1:29" ht="19.95" customHeight="1" x14ac:dyDescent="0.4">
      <c r="A4" s="11" t="s">
        <v>49</v>
      </c>
      <c r="B4" s="47" t="b">
        <v>1</v>
      </c>
    </row>
    <row r="5" spans="1:29" ht="19.95" customHeight="1" x14ac:dyDescent="0.4">
      <c r="A5" s="11" t="s">
        <v>50</v>
      </c>
      <c r="B5" s="47" t="b">
        <v>1</v>
      </c>
    </row>
    <row r="6" spans="1:29" ht="19.95" customHeight="1" x14ac:dyDescent="0.4">
      <c r="A6" s="11" t="s">
        <v>381</v>
      </c>
      <c r="B6" s="47" t="b">
        <v>1</v>
      </c>
      <c r="J6" s="58" t="s">
        <v>1</v>
      </c>
      <c r="K6" s="10" t="s">
        <v>2</v>
      </c>
      <c r="L6" s="45" t="s">
        <v>341</v>
      </c>
    </row>
    <row r="7" spans="1:29" ht="19.95" customHeight="1" x14ac:dyDescent="0.4">
      <c r="A7" s="11" t="s">
        <v>368</v>
      </c>
      <c r="B7" s="47" t="b">
        <v>1</v>
      </c>
      <c r="J7" s="58"/>
      <c r="K7" s="79" t="s">
        <v>3</v>
      </c>
      <c r="L7" s="20" t="s">
        <v>342</v>
      </c>
    </row>
    <row r="8" spans="1:29" ht="19.95" customHeight="1" x14ac:dyDescent="0.4">
      <c r="A8" s="11" t="s">
        <v>351</v>
      </c>
      <c r="B8" s="47" t="b">
        <v>1</v>
      </c>
      <c r="J8" s="58"/>
      <c r="K8" s="10" t="s">
        <v>4</v>
      </c>
      <c r="L8" s="45" t="s">
        <v>343</v>
      </c>
    </row>
    <row r="9" spans="1:29" ht="19.95" customHeight="1" x14ac:dyDescent="0.4">
      <c r="A9" s="11" t="s">
        <v>51</v>
      </c>
      <c r="B9" s="47" t="b">
        <v>1</v>
      </c>
      <c r="J9" s="58"/>
    </row>
    <row r="10" spans="1:29" ht="19.95" customHeight="1" x14ac:dyDescent="0.4">
      <c r="A10" s="11" t="s">
        <v>52</v>
      </c>
      <c r="B10" s="47" t="b">
        <v>1</v>
      </c>
    </row>
    <row r="11" spans="1:29" ht="19.95" customHeight="1" x14ac:dyDescent="0.4">
      <c r="A11" s="11" t="s">
        <v>53</v>
      </c>
      <c r="B11" s="47" t="b">
        <v>1</v>
      </c>
      <c r="D11" s="13"/>
    </row>
    <row r="12" spans="1:29" ht="19.95" customHeight="1" x14ac:dyDescent="0.4">
      <c r="A12" s="11" t="s">
        <v>369</v>
      </c>
      <c r="B12" s="47" t="b">
        <v>1</v>
      </c>
      <c r="D12" s="13"/>
    </row>
    <row r="13" spans="1:29" ht="19.95" customHeight="1" x14ac:dyDescent="0.4">
      <c r="A13" s="11" t="s">
        <v>370</v>
      </c>
      <c r="B13" s="47" t="b">
        <v>1</v>
      </c>
      <c r="D13" s="13"/>
    </row>
    <row r="14" spans="1:29" ht="19.95" customHeight="1" x14ac:dyDescent="0.4">
      <c r="A14" s="11" t="s">
        <v>212</v>
      </c>
      <c r="B14" s="47" t="b">
        <v>1</v>
      </c>
      <c r="J14" s="10" t="s">
        <v>5</v>
      </c>
      <c r="M14" s="10" t="s">
        <v>5</v>
      </c>
      <c r="N14" s="10" t="s">
        <v>7</v>
      </c>
    </row>
    <row r="15" spans="1:29" ht="19.95" customHeight="1" x14ac:dyDescent="0.4">
      <c r="A15" s="11" t="s">
        <v>371</v>
      </c>
      <c r="B15" s="47" t="b">
        <v>1</v>
      </c>
    </row>
    <row r="16" spans="1:29" ht="19.95" customHeight="1" x14ac:dyDescent="0.4">
      <c r="A16" s="11" t="s">
        <v>379</v>
      </c>
      <c r="B16" s="47" t="b">
        <v>1</v>
      </c>
    </row>
    <row r="17" spans="1:18" ht="19.95" customHeight="1" x14ac:dyDescent="0.4">
      <c r="A17" s="11" t="s">
        <v>55</v>
      </c>
      <c r="B17" s="47" t="b">
        <v>1</v>
      </c>
    </row>
    <row r="18" spans="1:18" ht="19.95" customHeight="1" x14ac:dyDescent="0.4">
      <c r="A18" s="11" t="s">
        <v>56</v>
      </c>
      <c r="B18" s="47" t="b">
        <v>1</v>
      </c>
      <c r="J18" s="10" t="s">
        <v>5</v>
      </c>
      <c r="M18" s="10" t="s">
        <v>6</v>
      </c>
      <c r="N18" s="10" t="s">
        <v>8</v>
      </c>
    </row>
    <row r="19" spans="1:18" ht="19.95" customHeight="1" x14ac:dyDescent="0.4">
      <c r="A19" s="11" t="s">
        <v>57</v>
      </c>
      <c r="B19" s="47" t="b">
        <v>1</v>
      </c>
      <c r="D19" s="45" t="s">
        <v>382</v>
      </c>
    </row>
    <row r="20" spans="1:18" ht="19.95" customHeight="1" x14ac:dyDescent="0.4">
      <c r="A20" s="11" t="s">
        <v>58</v>
      </c>
      <c r="B20" s="47" t="b">
        <v>1</v>
      </c>
      <c r="D20" s="45" t="s">
        <v>383</v>
      </c>
    </row>
    <row r="21" spans="1:18" ht="19.95" customHeight="1" x14ac:dyDescent="0.4">
      <c r="A21" s="11" t="s">
        <v>59</v>
      </c>
      <c r="B21" s="47" t="b">
        <v>1</v>
      </c>
    </row>
    <row r="22" spans="1:18" ht="19.95" customHeight="1" x14ac:dyDescent="0.4">
      <c r="A22" s="11" t="s">
        <v>60</v>
      </c>
      <c r="B22" s="47" t="b">
        <v>1</v>
      </c>
      <c r="D22" s="45" t="s">
        <v>384</v>
      </c>
      <c r="J22" s="10" t="s">
        <v>3</v>
      </c>
      <c r="K22" s="10" t="s">
        <v>9</v>
      </c>
    </row>
    <row r="23" spans="1:18" ht="19.95" customHeight="1" x14ac:dyDescent="0.4">
      <c r="A23" s="11" t="s">
        <v>61</v>
      </c>
      <c r="B23" s="47" t="b">
        <v>1</v>
      </c>
      <c r="D23" s="45" t="s">
        <v>385</v>
      </c>
    </row>
    <row r="24" spans="1:18" ht="19.95" customHeight="1" x14ac:dyDescent="0.4">
      <c r="A24" s="11" t="s">
        <v>62</v>
      </c>
      <c r="B24" s="47" t="b">
        <v>1</v>
      </c>
      <c r="J24" s="14" t="s">
        <v>10</v>
      </c>
    </row>
    <row r="25" spans="1:18" ht="19.95" customHeight="1" x14ac:dyDescent="0.4">
      <c r="A25" s="11" t="s">
        <v>63</v>
      </c>
      <c r="B25" s="47" t="b">
        <v>0</v>
      </c>
      <c r="J25" s="14"/>
    </row>
    <row r="26" spans="1:18" ht="19.95" customHeight="1" x14ac:dyDescent="0.4">
      <c r="A26" s="11" t="s">
        <v>64</v>
      </c>
      <c r="B26" s="47" t="b">
        <v>0</v>
      </c>
      <c r="K26" s="25"/>
    </row>
    <row r="27" spans="1:18" ht="19.95" customHeight="1" thickBot="1" x14ac:dyDescent="0.45">
      <c r="A27" s="11" t="s">
        <v>65</v>
      </c>
      <c r="B27" s="47" t="b">
        <v>0</v>
      </c>
    </row>
    <row r="28" spans="1:18" ht="19.95" customHeight="1" x14ac:dyDescent="0.4">
      <c r="A28" s="11" t="s">
        <v>66</v>
      </c>
      <c r="B28" s="47" t="b">
        <v>0</v>
      </c>
      <c r="J28" s="15" t="s">
        <v>11</v>
      </c>
      <c r="K28" s="16" t="s">
        <v>12</v>
      </c>
      <c r="M28" s="25" t="s">
        <v>1</v>
      </c>
      <c r="N28" s="25" t="s">
        <v>202</v>
      </c>
      <c r="O28" s="25" t="s">
        <v>203</v>
      </c>
      <c r="P28" s="25" t="s">
        <v>135</v>
      </c>
      <c r="Q28" s="25" t="s">
        <v>204</v>
      </c>
    </row>
    <row r="29" spans="1:18" ht="19.95" customHeight="1" thickBot="1" x14ac:dyDescent="0.45">
      <c r="A29" s="11" t="s">
        <v>67</v>
      </c>
      <c r="B29" s="47" t="b">
        <v>0</v>
      </c>
      <c r="J29" s="17"/>
      <c r="K29" s="18" t="s">
        <v>13</v>
      </c>
      <c r="N29" s="25" t="s">
        <v>205</v>
      </c>
      <c r="O29" s="25" t="s">
        <v>206</v>
      </c>
      <c r="P29" s="25" t="s">
        <v>207</v>
      </c>
      <c r="Q29" s="25" t="s">
        <v>208</v>
      </c>
      <c r="R29" s="25" t="s">
        <v>209</v>
      </c>
    </row>
    <row r="30" spans="1:18" ht="19.95" customHeight="1" x14ac:dyDescent="0.4">
      <c r="A30" s="11" t="s">
        <v>68</v>
      </c>
      <c r="B30" s="47" t="b">
        <v>0</v>
      </c>
      <c r="J30" s="10" t="s">
        <v>14</v>
      </c>
      <c r="K30" s="10" t="s">
        <v>15</v>
      </c>
    </row>
    <row r="31" spans="1:18" ht="19.95" customHeight="1" x14ac:dyDescent="0.4">
      <c r="A31" s="11" t="s">
        <v>69</v>
      </c>
      <c r="B31" s="47" t="b">
        <v>0</v>
      </c>
      <c r="K31" s="10" t="s">
        <v>16</v>
      </c>
    </row>
    <row r="32" spans="1:18" ht="19.95" customHeight="1" x14ac:dyDescent="0.4">
      <c r="A32" s="11" t="s">
        <v>70</v>
      </c>
      <c r="B32" s="47" t="b">
        <v>0</v>
      </c>
      <c r="J32" s="10" t="s">
        <v>17</v>
      </c>
      <c r="K32" s="10" t="s">
        <v>18</v>
      </c>
    </row>
    <row r="33" spans="1:17" ht="19.95" customHeight="1" x14ac:dyDescent="0.4">
      <c r="A33" s="19" t="s">
        <v>71</v>
      </c>
      <c r="B33" s="47" t="b">
        <v>0</v>
      </c>
      <c r="K33" s="10" t="s">
        <v>19</v>
      </c>
    </row>
    <row r="34" spans="1:17" ht="19.95" customHeight="1" x14ac:dyDescent="0.4">
      <c r="A34" s="19" t="s">
        <v>72</v>
      </c>
      <c r="B34" s="47" t="b">
        <v>0</v>
      </c>
      <c r="J34" s="10" t="s">
        <v>20</v>
      </c>
      <c r="K34" s="10" t="s">
        <v>21</v>
      </c>
    </row>
    <row r="35" spans="1:17" ht="19.95" customHeight="1" x14ac:dyDescent="0.4">
      <c r="A35" s="19" t="s">
        <v>73</v>
      </c>
      <c r="B35" s="47" t="b">
        <v>0</v>
      </c>
      <c r="K35" s="10" t="s">
        <v>22</v>
      </c>
    </row>
    <row r="36" spans="1:17" ht="19.95" customHeight="1" x14ac:dyDescent="0.4">
      <c r="A36" s="19" t="s">
        <v>74</v>
      </c>
      <c r="B36" s="47" t="b">
        <v>0</v>
      </c>
      <c r="J36" s="10" t="s">
        <v>23</v>
      </c>
      <c r="K36" s="10" t="s">
        <v>24</v>
      </c>
    </row>
    <row r="37" spans="1:17" ht="19.95" customHeight="1" x14ac:dyDescent="0.4">
      <c r="A37" s="19" t="s">
        <v>75</v>
      </c>
      <c r="B37" s="47" t="b">
        <v>0</v>
      </c>
      <c r="K37" s="44" t="s">
        <v>335</v>
      </c>
    </row>
    <row r="38" spans="1:17" ht="19.95" customHeight="1" thickBot="1" x14ac:dyDescent="0.45">
      <c r="B38" s="47" t="b">
        <v>0</v>
      </c>
    </row>
    <row r="39" spans="1:17" ht="19.95" customHeight="1" thickBot="1" x14ac:dyDescent="0.45">
      <c r="A39" s="11" t="s">
        <v>76</v>
      </c>
      <c r="B39" s="47" t="b">
        <v>0</v>
      </c>
      <c r="H39" s="59" t="s">
        <v>25</v>
      </c>
      <c r="I39" s="60"/>
      <c r="J39" s="60"/>
      <c r="K39" s="60"/>
      <c r="L39" s="60"/>
      <c r="M39" s="60"/>
      <c r="N39" s="60"/>
      <c r="O39" s="61"/>
    </row>
    <row r="40" spans="1:17" ht="19.95" customHeight="1" x14ac:dyDescent="0.4">
      <c r="A40" s="11" t="s">
        <v>77</v>
      </c>
      <c r="B40" s="47" t="b">
        <v>0</v>
      </c>
    </row>
    <row r="41" spans="1:17" ht="19.95" customHeight="1" x14ac:dyDescent="0.4">
      <c r="A41" s="11" t="s">
        <v>78</v>
      </c>
      <c r="B41" s="47" t="b">
        <v>0</v>
      </c>
    </row>
    <row r="42" spans="1:17" ht="19.95" customHeight="1" x14ac:dyDescent="0.4">
      <c r="A42" s="11" t="s">
        <v>79</v>
      </c>
      <c r="B42" s="47" t="b">
        <v>0</v>
      </c>
      <c r="J42" s="20" t="s">
        <v>26</v>
      </c>
    </row>
    <row r="43" spans="1:17" ht="19.95" customHeight="1" x14ac:dyDescent="0.4">
      <c r="A43" s="11" t="s">
        <v>80</v>
      </c>
      <c r="B43" s="47" t="b">
        <v>0</v>
      </c>
      <c r="P43" s="45" t="s">
        <v>121</v>
      </c>
      <c r="Q43" s="45" t="s">
        <v>363</v>
      </c>
    </row>
    <row r="44" spans="1:17" ht="19.95" customHeight="1" x14ac:dyDescent="0.4">
      <c r="A44" s="11" t="s">
        <v>81</v>
      </c>
      <c r="B44" s="47" t="b">
        <v>0</v>
      </c>
      <c r="J44" s="23" t="s">
        <v>27</v>
      </c>
      <c r="K44" s="46" t="s">
        <v>336</v>
      </c>
      <c r="P44" s="45" t="s">
        <v>364</v>
      </c>
      <c r="Q44" s="45" t="s">
        <v>365</v>
      </c>
    </row>
    <row r="45" spans="1:17" ht="19.95" customHeight="1" x14ac:dyDescent="0.4">
      <c r="A45" s="11" t="s">
        <v>54</v>
      </c>
      <c r="B45" s="47" t="b">
        <v>0</v>
      </c>
      <c r="J45" s="23"/>
      <c r="K45" s="27"/>
    </row>
    <row r="46" spans="1:17" ht="19.95" customHeight="1" x14ac:dyDescent="0.4">
      <c r="A46" s="11" t="s">
        <v>82</v>
      </c>
      <c r="B46" s="47" t="b">
        <v>0</v>
      </c>
      <c r="J46" s="10" t="s">
        <v>28</v>
      </c>
      <c r="K46" s="44" t="s">
        <v>337</v>
      </c>
    </row>
    <row r="47" spans="1:17" ht="19.95" customHeight="1" x14ac:dyDescent="0.4">
      <c r="A47" s="11"/>
      <c r="B47" s="47" t="b">
        <v>0</v>
      </c>
      <c r="J47" s="44" t="s">
        <v>338</v>
      </c>
      <c r="K47" s="44" t="s">
        <v>339</v>
      </c>
    </row>
    <row r="48" spans="1:17" ht="19.95" customHeight="1" x14ac:dyDescent="0.4">
      <c r="A48" s="11" t="s">
        <v>83</v>
      </c>
      <c r="B48" s="47" t="b">
        <v>0</v>
      </c>
      <c r="J48" s="14" t="s">
        <v>29</v>
      </c>
      <c r="K48" s="45" t="s">
        <v>340</v>
      </c>
    </row>
    <row r="49" spans="1:17" ht="19.95" customHeight="1" x14ac:dyDescent="0.4">
      <c r="A49" s="11" t="s">
        <v>84</v>
      </c>
      <c r="B49" s="47" t="b">
        <v>0</v>
      </c>
      <c r="J49" s="10" t="s">
        <v>43</v>
      </c>
      <c r="K49" s="45" t="s">
        <v>367</v>
      </c>
    </row>
    <row r="50" spans="1:17" ht="19.95" customHeight="1" x14ac:dyDescent="0.4">
      <c r="A50" s="11" t="s">
        <v>85</v>
      </c>
      <c r="B50" s="47" t="b">
        <v>0</v>
      </c>
      <c r="J50" s="14" t="s">
        <v>44</v>
      </c>
    </row>
    <row r="51" spans="1:17" ht="19.95" customHeight="1" x14ac:dyDescent="0.4">
      <c r="A51" s="11" t="s">
        <v>86</v>
      </c>
      <c r="B51" s="47" t="b">
        <v>0</v>
      </c>
      <c r="J51" s="10" t="s">
        <v>46</v>
      </c>
    </row>
    <row r="52" spans="1:17" ht="19.95" customHeight="1" x14ac:dyDescent="0.4">
      <c r="A52" s="11" t="s">
        <v>87</v>
      </c>
      <c r="B52" s="47" t="b">
        <v>0</v>
      </c>
      <c r="J52" s="10" t="s">
        <v>45</v>
      </c>
      <c r="P52" s="10" t="s">
        <v>30</v>
      </c>
      <c r="Q52" s="45" t="s">
        <v>366</v>
      </c>
    </row>
    <row r="53" spans="1:17" ht="19.95" customHeight="1" x14ac:dyDescent="0.4">
      <c r="A53" s="11" t="s">
        <v>88</v>
      </c>
      <c r="B53" s="47" t="b">
        <v>0</v>
      </c>
      <c r="P53" s="10" t="s">
        <v>31</v>
      </c>
      <c r="Q53" s="45" t="s">
        <v>366</v>
      </c>
    </row>
    <row r="54" spans="1:17" ht="19.95" customHeight="1" x14ac:dyDescent="0.4">
      <c r="A54" s="11" t="s">
        <v>89</v>
      </c>
      <c r="B54" s="47" t="b">
        <v>0</v>
      </c>
      <c r="P54" s="10" t="s">
        <v>32</v>
      </c>
      <c r="Q54" s="45" t="s">
        <v>366</v>
      </c>
    </row>
    <row r="55" spans="1:17" ht="19.95" customHeight="1" x14ac:dyDescent="0.4">
      <c r="A55" s="11" t="s">
        <v>90</v>
      </c>
      <c r="B55" s="47" t="b">
        <v>0</v>
      </c>
      <c r="P55" s="10" t="s">
        <v>33</v>
      </c>
      <c r="Q55" s="45" t="s">
        <v>366</v>
      </c>
    </row>
    <row r="56" spans="1:17" ht="19.95" customHeight="1" x14ac:dyDescent="0.4">
      <c r="A56" s="11" t="s">
        <v>91</v>
      </c>
      <c r="B56" s="47" t="b">
        <v>0</v>
      </c>
      <c r="J56" s="10" t="s">
        <v>112</v>
      </c>
      <c r="K56" s="10" t="s">
        <v>113</v>
      </c>
      <c r="P56" s="10" t="s">
        <v>34</v>
      </c>
      <c r="Q56" s="45" t="s">
        <v>366</v>
      </c>
    </row>
    <row r="57" spans="1:17" ht="19.95" customHeight="1" x14ac:dyDescent="0.4">
      <c r="A57" s="11" t="s">
        <v>92</v>
      </c>
      <c r="B57" s="47" t="b">
        <v>0</v>
      </c>
      <c r="J57" s="10" t="s">
        <v>117</v>
      </c>
      <c r="K57" s="21" t="s">
        <v>114</v>
      </c>
      <c r="P57" s="10" t="s">
        <v>35</v>
      </c>
      <c r="Q57" s="45" t="s">
        <v>366</v>
      </c>
    </row>
    <row r="58" spans="1:17" ht="19.95" customHeight="1" x14ac:dyDescent="0.4">
      <c r="A58" s="11" t="s">
        <v>93</v>
      </c>
      <c r="B58" s="47" t="b">
        <v>0</v>
      </c>
      <c r="J58" s="10" t="s">
        <v>115</v>
      </c>
      <c r="K58" s="10" t="s">
        <v>116</v>
      </c>
      <c r="P58" s="24" t="s">
        <v>36</v>
      </c>
      <c r="Q58" s="24" t="s">
        <v>39</v>
      </c>
    </row>
    <row r="59" spans="1:17" ht="19.95" customHeight="1" x14ac:dyDescent="0.4">
      <c r="A59" s="11" t="s">
        <v>94</v>
      </c>
      <c r="B59" s="47" t="b">
        <v>0</v>
      </c>
      <c r="J59" s="10" t="s">
        <v>201</v>
      </c>
      <c r="K59" s="80" t="s">
        <v>380</v>
      </c>
      <c r="P59" s="24" t="s">
        <v>37</v>
      </c>
      <c r="Q59" s="24" t="s">
        <v>39</v>
      </c>
    </row>
    <row r="60" spans="1:17" ht="19.95" customHeight="1" x14ac:dyDescent="0.4">
      <c r="A60" s="11" t="s">
        <v>95</v>
      </c>
      <c r="B60" s="47" t="b">
        <v>0</v>
      </c>
      <c r="P60" s="24" t="s">
        <v>38</v>
      </c>
      <c r="Q60" s="24" t="s">
        <v>39</v>
      </c>
    </row>
    <row r="61" spans="1:17" ht="19.95" customHeight="1" x14ac:dyDescent="0.4">
      <c r="A61" s="11" t="s">
        <v>96</v>
      </c>
      <c r="B61" s="47" t="b">
        <v>0</v>
      </c>
      <c r="P61" s="24" t="s">
        <v>40</v>
      </c>
      <c r="Q61" s="24" t="s">
        <v>39</v>
      </c>
    </row>
    <row r="62" spans="1:17" ht="19.95" customHeight="1" x14ac:dyDescent="0.4">
      <c r="A62" s="11" t="s">
        <v>97</v>
      </c>
      <c r="B62" s="47" t="b">
        <v>0</v>
      </c>
      <c r="P62" s="24" t="s">
        <v>41</v>
      </c>
      <c r="Q62" s="24" t="s">
        <v>39</v>
      </c>
    </row>
    <row r="63" spans="1:17" ht="19.95" customHeight="1" x14ac:dyDescent="0.4">
      <c r="A63" s="11" t="s">
        <v>98</v>
      </c>
      <c r="B63" s="47" t="b">
        <v>0</v>
      </c>
      <c r="P63" s="24" t="s">
        <v>42</v>
      </c>
      <c r="Q63" s="24" t="s">
        <v>39</v>
      </c>
    </row>
    <row r="64" spans="1:17" ht="19.95" customHeight="1" x14ac:dyDescent="0.4">
      <c r="A64" s="11" t="s">
        <v>99</v>
      </c>
      <c r="B64" s="47" t="b">
        <v>0</v>
      </c>
    </row>
    <row r="65" spans="1:2" ht="19.95" customHeight="1" x14ac:dyDescent="0.4">
      <c r="A65" s="11" t="s">
        <v>100</v>
      </c>
      <c r="B65" s="47" t="b">
        <v>0</v>
      </c>
    </row>
    <row r="66" spans="1:2" ht="19.95" customHeight="1" x14ac:dyDescent="0.4">
      <c r="A66" s="11" t="s">
        <v>101</v>
      </c>
      <c r="B66" s="47" t="b">
        <v>0</v>
      </c>
    </row>
    <row r="67" spans="1:2" ht="19.95" customHeight="1" x14ac:dyDescent="0.4">
      <c r="A67" s="11" t="s">
        <v>102</v>
      </c>
      <c r="B67" s="47" t="b">
        <v>0</v>
      </c>
    </row>
    <row r="68" spans="1:2" ht="19.95" customHeight="1" x14ac:dyDescent="0.4">
      <c r="A68" s="11" t="s">
        <v>103</v>
      </c>
      <c r="B68" s="47" t="b">
        <v>0</v>
      </c>
    </row>
    <row r="69" spans="1:2" ht="19.95" customHeight="1" x14ac:dyDescent="0.4">
      <c r="A69" s="11" t="s">
        <v>104</v>
      </c>
      <c r="B69" s="47" t="b">
        <v>0</v>
      </c>
    </row>
    <row r="70" spans="1:2" ht="19.95" customHeight="1" x14ac:dyDescent="0.4">
      <c r="A70" s="11" t="s">
        <v>105</v>
      </c>
      <c r="B70" s="47" t="b">
        <v>0</v>
      </c>
    </row>
    <row r="71" spans="1:2" ht="19.95" customHeight="1" x14ac:dyDescent="0.4">
      <c r="A71" s="11" t="s">
        <v>106</v>
      </c>
      <c r="B71" s="47" t="b">
        <v>0</v>
      </c>
    </row>
    <row r="72" spans="1:2" ht="19.95" customHeight="1" x14ac:dyDescent="0.4">
      <c r="A72" s="11" t="s">
        <v>107</v>
      </c>
      <c r="B72" s="47" t="b">
        <v>0</v>
      </c>
    </row>
    <row r="73" spans="1:2" ht="19.95" customHeight="1" x14ac:dyDescent="0.4">
      <c r="A73" s="11" t="s">
        <v>108</v>
      </c>
      <c r="B73" s="47" t="b">
        <v>0</v>
      </c>
    </row>
    <row r="74" spans="1:2" ht="19.95" customHeight="1" x14ac:dyDescent="0.4">
      <c r="B74" s="28"/>
    </row>
    <row r="75" spans="1:2" ht="19.95" customHeight="1" x14ac:dyDescent="0.4">
      <c r="A75" s="12"/>
      <c r="B75" s="28"/>
    </row>
    <row r="76" spans="1:2" ht="19.95" customHeight="1" x14ac:dyDescent="0.4">
      <c r="A76" s="22" t="s">
        <v>109</v>
      </c>
      <c r="B76" s="28"/>
    </row>
    <row r="77" spans="1:2" ht="19.95" customHeight="1" x14ac:dyDescent="0.4">
      <c r="A77" s="22" t="s">
        <v>110</v>
      </c>
      <c r="B77" s="28"/>
    </row>
    <row r="78" spans="1:2" ht="19.95" customHeight="1" x14ac:dyDescent="0.4">
      <c r="A78" s="22" t="s">
        <v>111</v>
      </c>
      <c r="B78" s="28"/>
    </row>
  </sheetData>
  <mergeCells count="4">
    <mergeCell ref="G1:Q3"/>
    <mergeCell ref="J6:J9"/>
    <mergeCell ref="H39:O39"/>
    <mergeCell ref="A1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81B3-4B00-41E3-B35D-09B843A36C50}">
  <dimension ref="B1:U40"/>
  <sheetViews>
    <sheetView topLeftCell="K1" zoomScale="155" zoomScaleNormal="155" workbookViewId="0">
      <selection activeCell="P12" sqref="P12"/>
    </sheetView>
  </sheetViews>
  <sheetFormatPr defaultRowHeight="14.4" x14ac:dyDescent="0.3"/>
  <cols>
    <col min="2" max="2" width="29.21875" customWidth="1"/>
    <col min="3" max="3" width="10.33203125" bestFit="1" customWidth="1"/>
    <col min="16" max="16" width="10.33203125" bestFit="1" customWidth="1"/>
    <col min="17" max="17" width="18.44140625" customWidth="1"/>
  </cols>
  <sheetData>
    <row r="1" spans="2:21" x14ac:dyDescent="0.3">
      <c r="B1" t="s">
        <v>122</v>
      </c>
      <c r="C1" t="s">
        <v>127</v>
      </c>
      <c r="M1" s="66" t="s">
        <v>118</v>
      </c>
      <c r="N1" s="67"/>
      <c r="O1" s="67"/>
      <c r="P1" s="67"/>
      <c r="Q1" s="67"/>
      <c r="R1" s="67"/>
      <c r="S1" s="67"/>
      <c r="T1" s="67"/>
      <c r="U1" s="68"/>
    </row>
    <row r="2" spans="2:21" ht="18" customHeight="1" thickBot="1" x14ac:dyDescent="0.35">
      <c r="B2" t="s">
        <v>125</v>
      </c>
      <c r="C2">
        <v>54</v>
      </c>
      <c r="M2" s="69"/>
      <c r="N2" s="70"/>
      <c r="O2" s="70"/>
      <c r="P2" s="70"/>
      <c r="Q2" s="70"/>
      <c r="R2" s="70"/>
      <c r="S2" s="70"/>
      <c r="T2" s="70"/>
      <c r="U2" s="71"/>
    </row>
    <row r="3" spans="2:21" x14ac:dyDescent="0.3">
      <c r="B3" t="s">
        <v>123</v>
      </c>
      <c r="C3">
        <v>72</v>
      </c>
    </row>
    <row r="4" spans="2:21" x14ac:dyDescent="0.3">
      <c r="B4" t="s">
        <v>124</v>
      </c>
      <c r="C4">
        <v>47</v>
      </c>
      <c r="M4" s="1"/>
      <c r="N4" s="1"/>
      <c r="O4" s="1"/>
      <c r="P4" s="1"/>
      <c r="Q4" s="1"/>
      <c r="R4" s="1"/>
      <c r="S4" s="1"/>
      <c r="T4" s="1"/>
      <c r="U4" s="1"/>
    </row>
    <row r="5" spans="2:21" x14ac:dyDescent="0.3">
      <c r="B5" t="s">
        <v>126</v>
      </c>
      <c r="C5">
        <v>51</v>
      </c>
    </row>
    <row r="6" spans="2:21" x14ac:dyDescent="0.3">
      <c r="O6" s="3" t="s">
        <v>135</v>
      </c>
      <c r="P6" s="29" t="s">
        <v>119</v>
      </c>
    </row>
    <row r="7" spans="2:21" x14ac:dyDescent="0.3">
      <c r="P7" s="2" t="s">
        <v>120</v>
      </c>
      <c r="Q7" t="s">
        <v>133</v>
      </c>
      <c r="R7" t="s">
        <v>203</v>
      </c>
    </row>
    <row r="8" spans="2:21" x14ac:dyDescent="0.3">
      <c r="D8" t="s">
        <v>132</v>
      </c>
      <c r="E8" t="s">
        <v>110</v>
      </c>
      <c r="P8" s="2" t="s">
        <v>121</v>
      </c>
      <c r="Q8" t="s">
        <v>134</v>
      </c>
      <c r="R8" t="s">
        <v>203</v>
      </c>
    </row>
    <row r="9" spans="2:21" x14ac:dyDescent="0.3">
      <c r="D9" t="s">
        <v>128</v>
      </c>
      <c r="E9">
        <f>VLOOKUP("*"&amp;D9&amp;"*",$B$2:$C$5,2,0)</f>
        <v>47</v>
      </c>
    </row>
    <row r="10" spans="2:21" x14ac:dyDescent="0.3">
      <c r="D10" t="s">
        <v>129</v>
      </c>
      <c r="E10">
        <f t="shared" ref="E10:E12" si="0">VLOOKUP("*"&amp;D10&amp;"*",$B$2:$C$5,2,0)</f>
        <v>51</v>
      </c>
    </row>
    <row r="11" spans="2:21" x14ac:dyDescent="0.3">
      <c r="D11" t="s">
        <v>130</v>
      </c>
      <c r="E11">
        <f t="shared" si="0"/>
        <v>72</v>
      </c>
      <c r="O11" t="s">
        <v>1</v>
      </c>
      <c r="P11" t="s">
        <v>136</v>
      </c>
    </row>
    <row r="12" spans="2:21" x14ac:dyDescent="0.3">
      <c r="D12" t="s">
        <v>131</v>
      </c>
      <c r="E12">
        <f t="shared" si="0"/>
        <v>54</v>
      </c>
      <c r="P12" t="s">
        <v>137</v>
      </c>
      <c r="Q12" t="s">
        <v>133</v>
      </c>
      <c r="R12" t="s">
        <v>387</v>
      </c>
    </row>
    <row r="13" spans="2:21" x14ac:dyDescent="0.3">
      <c r="P13" t="s">
        <v>138</v>
      </c>
      <c r="Q13" t="s">
        <v>134</v>
      </c>
      <c r="R13" t="s">
        <v>387</v>
      </c>
    </row>
    <row r="14" spans="2:21" ht="28.8" x14ac:dyDescent="0.55000000000000004">
      <c r="B14" s="4" t="s">
        <v>139</v>
      </c>
    </row>
    <row r="15" spans="2:21" ht="28.8" x14ac:dyDescent="0.55000000000000004">
      <c r="B15" s="5" t="s">
        <v>140</v>
      </c>
    </row>
    <row r="16" spans="2:21" ht="28.8" x14ac:dyDescent="0.55000000000000004">
      <c r="B16" s="5" t="s">
        <v>141</v>
      </c>
      <c r="F16" s="3" t="s">
        <v>166</v>
      </c>
    </row>
    <row r="17" spans="2:17" ht="28.8" x14ac:dyDescent="0.55000000000000004">
      <c r="B17" s="5" t="s">
        <v>142</v>
      </c>
    </row>
    <row r="18" spans="2:17" ht="28.8" x14ac:dyDescent="0.55000000000000004">
      <c r="B18" s="5" t="s">
        <v>143</v>
      </c>
      <c r="F18">
        <f>COUNTIF($B$15:$B$40,"???")</f>
        <v>4</v>
      </c>
    </row>
    <row r="19" spans="2:17" ht="28.8" x14ac:dyDescent="0.55000000000000004">
      <c r="B19" s="5" t="s">
        <v>144</v>
      </c>
      <c r="O19" t="s">
        <v>386</v>
      </c>
      <c r="P19" s="81">
        <v>43434</v>
      </c>
      <c r="Q19" t="b">
        <f>ISNUMBER(P19)</f>
        <v>1</v>
      </c>
    </row>
    <row r="20" spans="2:17" ht="28.8" x14ac:dyDescent="0.55000000000000004">
      <c r="B20" s="5" t="s">
        <v>145</v>
      </c>
      <c r="O20" t="s">
        <v>382</v>
      </c>
      <c r="P20" s="81">
        <v>45795</v>
      </c>
      <c r="Q20" t="b">
        <f t="shared" ref="Q20:Q21" si="1">ISNUMBER(P20)</f>
        <v>1</v>
      </c>
    </row>
    <row r="21" spans="2:17" ht="28.8" x14ac:dyDescent="0.55000000000000004">
      <c r="B21" s="5" t="s">
        <v>146</v>
      </c>
      <c r="O21" t="s">
        <v>384</v>
      </c>
      <c r="P21" s="81">
        <v>0.84791666666666665</v>
      </c>
      <c r="Q21" t="b">
        <f t="shared" si="1"/>
        <v>1</v>
      </c>
    </row>
    <row r="22" spans="2:17" ht="28.8" x14ac:dyDescent="0.55000000000000004">
      <c r="B22" s="5" t="s">
        <v>147</v>
      </c>
    </row>
    <row r="23" spans="2:17" ht="28.8" x14ac:dyDescent="0.55000000000000004">
      <c r="B23" s="5" t="s">
        <v>148</v>
      </c>
    </row>
    <row r="24" spans="2:17" ht="28.8" x14ac:dyDescent="0.55000000000000004">
      <c r="B24" s="5" t="s">
        <v>149</v>
      </c>
    </row>
    <row r="25" spans="2:17" ht="28.8" x14ac:dyDescent="0.55000000000000004">
      <c r="B25" s="5" t="s">
        <v>150</v>
      </c>
    </row>
    <row r="26" spans="2:17" ht="28.8" x14ac:dyDescent="0.55000000000000004">
      <c r="B26" s="5" t="s">
        <v>151</v>
      </c>
    </row>
    <row r="27" spans="2:17" ht="28.8" x14ac:dyDescent="0.55000000000000004">
      <c r="B27" s="5" t="s">
        <v>152</v>
      </c>
    </row>
    <row r="28" spans="2:17" ht="28.8" x14ac:dyDescent="0.55000000000000004">
      <c r="B28" s="5" t="s">
        <v>153</v>
      </c>
    </row>
    <row r="29" spans="2:17" ht="28.8" x14ac:dyDescent="0.55000000000000004">
      <c r="B29" s="5" t="s">
        <v>154</v>
      </c>
    </row>
    <row r="30" spans="2:17" ht="28.8" x14ac:dyDescent="0.55000000000000004">
      <c r="B30" s="5" t="s">
        <v>155</v>
      </c>
    </row>
    <row r="31" spans="2:17" ht="28.8" x14ac:dyDescent="0.55000000000000004">
      <c r="B31" s="5" t="s">
        <v>156</v>
      </c>
    </row>
    <row r="32" spans="2:17" ht="28.8" x14ac:dyDescent="0.55000000000000004">
      <c r="B32" s="5" t="s">
        <v>157</v>
      </c>
    </row>
    <row r="33" spans="2:2" ht="28.8" x14ac:dyDescent="0.55000000000000004">
      <c r="B33" s="5" t="s">
        <v>158</v>
      </c>
    </row>
    <row r="34" spans="2:2" ht="28.8" x14ac:dyDescent="0.55000000000000004">
      <c r="B34" s="5" t="s">
        <v>159</v>
      </c>
    </row>
    <row r="35" spans="2:2" ht="28.8" x14ac:dyDescent="0.55000000000000004">
      <c r="B35" s="5" t="s">
        <v>160</v>
      </c>
    </row>
    <row r="36" spans="2:2" ht="28.8" x14ac:dyDescent="0.55000000000000004">
      <c r="B36" s="5" t="s">
        <v>161</v>
      </c>
    </row>
    <row r="37" spans="2:2" ht="28.8" x14ac:dyDescent="0.55000000000000004">
      <c r="B37" s="5" t="s">
        <v>162</v>
      </c>
    </row>
    <row r="38" spans="2:2" ht="28.8" x14ac:dyDescent="0.55000000000000004">
      <c r="B38" s="5" t="s">
        <v>163</v>
      </c>
    </row>
    <row r="39" spans="2:2" ht="28.8" x14ac:dyDescent="0.55000000000000004">
      <c r="B39" s="5" t="s">
        <v>164</v>
      </c>
    </row>
    <row r="40" spans="2:2" ht="28.8" x14ac:dyDescent="0.55000000000000004">
      <c r="B40" s="5" t="s">
        <v>165</v>
      </c>
    </row>
  </sheetData>
  <mergeCells count="1">
    <mergeCell ref="M1: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6C7-7116-4BE8-9A2C-84010AE0A051}">
  <dimension ref="A1:V90"/>
  <sheetViews>
    <sheetView zoomScale="141" zoomScaleNormal="141" workbookViewId="0">
      <selection activeCell="A2" sqref="A2"/>
    </sheetView>
  </sheetViews>
  <sheetFormatPr defaultRowHeight="14.4" x14ac:dyDescent="0.3"/>
  <cols>
    <col min="1" max="1" width="60.6640625" customWidth="1"/>
    <col min="2" max="2" width="8.44140625" customWidth="1"/>
    <col min="3" max="3" width="69.88671875" customWidth="1"/>
    <col min="4" max="4" width="12.88671875" customWidth="1"/>
    <col min="12" max="12" width="7.33203125" bestFit="1" customWidth="1"/>
    <col min="13" max="13" width="82.88671875" bestFit="1" customWidth="1"/>
    <col min="14" max="14" width="10.6640625" bestFit="1" customWidth="1"/>
    <col min="20" max="20" width="11" customWidth="1"/>
    <col min="21" max="21" width="17.44140625" customWidth="1"/>
    <col min="22" max="22" width="11.44140625" customWidth="1"/>
  </cols>
  <sheetData>
    <row r="1" spans="1:22" ht="15" thickBot="1" x14ac:dyDescent="0.35">
      <c r="A1" s="72" t="s">
        <v>167</v>
      </c>
      <c r="B1" s="73"/>
      <c r="D1" t="s">
        <v>333</v>
      </c>
      <c r="L1" s="30" t="s">
        <v>216</v>
      </c>
      <c r="M1" s="30" t="s">
        <v>217</v>
      </c>
      <c r="N1" s="31" t="s">
        <v>218</v>
      </c>
      <c r="T1" s="31" t="s">
        <v>216</v>
      </c>
      <c r="U1" s="31" t="s">
        <v>259</v>
      </c>
      <c r="V1" t="s">
        <v>332</v>
      </c>
    </row>
    <row r="2" spans="1:22" ht="15.6" x14ac:dyDescent="0.3">
      <c r="A2" s="6" t="s">
        <v>168</v>
      </c>
      <c r="B2" s="7" t="s">
        <v>180</v>
      </c>
      <c r="D2" t="s">
        <v>334</v>
      </c>
      <c r="L2" s="32" t="s">
        <v>219</v>
      </c>
      <c r="M2" s="32" t="s">
        <v>220</v>
      </c>
      <c r="N2" s="33" t="s">
        <v>221</v>
      </c>
      <c r="T2" s="38" t="s">
        <v>219</v>
      </c>
      <c r="U2" s="39" t="s">
        <v>260</v>
      </c>
      <c r="V2" t="str">
        <f>VLOOKUP("*"&amp;U2&amp;"*",$M$2:$N$20,2,0)</f>
        <v>Dubai</v>
      </c>
    </row>
    <row r="3" spans="1:22" ht="15.6" x14ac:dyDescent="0.3">
      <c r="A3" s="6" t="s">
        <v>169</v>
      </c>
      <c r="B3" s="8" t="s">
        <v>181</v>
      </c>
      <c r="D3" t="s">
        <v>334</v>
      </c>
      <c r="L3" s="34" t="s">
        <v>219</v>
      </c>
      <c r="M3" s="34" t="s">
        <v>222</v>
      </c>
      <c r="N3" s="35" t="s">
        <v>223</v>
      </c>
      <c r="T3" s="40" t="s">
        <v>242</v>
      </c>
      <c r="U3" s="41" t="s">
        <v>261</v>
      </c>
      <c r="V3" t="str">
        <f t="shared" ref="V3:V66" si="0">VLOOKUP("*"&amp;U3&amp;"*",$M$2:$N$20,2,0)</f>
        <v>Gujarat</v>
      </c>
    </row>
    <row r="4" spans="1:22" ht="15.6" x14ac:dyDescent="0.3">
      <c r="A4" s="6" t="s">
        <v>170</v>
      </c>
      <c r="B4" s="8" t="s">
        <v>182</v>
      </c>
      <c r="D4" t="s">
        <v>334</v>
      </c>
      <c r="L4" s="32" t="s">
        <v>219</v>
      </c>
      <c r="M4" s="32" t="s">
        <v>224</v>
      </c>
      <c r="N4" s="33" t="s">
        <v>225</v>
      </c>
      <c r="T4" s="40" t="s">
        <v>242</v>
      </c>
      <c r="U4" s="41" t="s">
        <v>262</v>
      </c>
      <c r="V4" t="str">
        <f t="shared" si="0"/>
        <v>Rajasthan</v>
      </c>
    </row>
    <row r="5" spans="1:22" ht="15.6" x14ac:dyDescent="0.3">
      <c r="A5" s="6" t="s">
        <v>171</v>
      </c>
      <c r="B5" s="8" t="s">
        <v>183</v>
      </c>
      <c r="D5" t="s">
        <v>334</v>
      </c>
      <c r="L5" s="34" t="s">
        <v>219</v>
      </c>
      <c r="M5" s="34" t="s">
        <v>226</v>
      </c>
      <c r="N5" s="35" t="s">
        <v>227</v>
      </c>
      <c r="T5" s="38" t="s">
        <v>242</v>
      </c>
      <c r="U5" s="39" t="s">
        <v>263</v>
      </c>
      <c r="V5" t="str">
        <f t="shared" si="0"/>
        <v>Kerala</v>
      </c>
    </row>
    <row r="6" spans="1:22" ht="15.6" x14ac:dyDescent="0.3">
      <c r="A6" s="6" t="s">
        <v>172</v>
      </c>
      <c r="B6" s="8" t="s">
        <v>184</v>
      </c>
      <c r="D6" t="s">
        <v>334</v>
      </c>
      <c r="L6" s="32" t="s">
        <v>219</v>
      </c>
      <c r="M6" s="32" t="s">
        <v>228</v>
      </c>
      <c r="N6" s="33" t="s">
        <v>229</v>
      </c>
      <c r="T6" s="38" t="s">
        <v>242</v>
      </c>
      <c r="U6" s="39" t="s">
        <v>264</v>
      </c>
      <c r="V6" t="str">
        <f t="shared" si="0"/>
        <v>Kerala</v>
      </c>
    </row>
    <row r="7" spans="1:22" ht="15.6" x14ac:dyDescent="0.3">
      <c r="A7" s="6" t="s">
        <v>173</v>
      </c>
      <c r="B7" s="8" t="s">
        <v>185</v>
      </c>
      <c r="D7" t="s">
        <v>334</v>
      </c>
      <c r="L7" s="34" t="s">
        <v>219</v>
      </c>
      <c r="M7" s="34" t="s">
        <v>230</v>
      </c>
      <c r="N7" s="35" t="s">
        <v>231</v>
      </c>
      <c r="T7" s="38" t="s">
        <v>242</v>
      </c>
      <c r="U7" s="39" t="s">
        <v>246</v>
      </c>
      <c r="V7" t="str">
        <f t="shared" si="0"/>
        <v>Andaman</v>
      </c>
    </row>
    <row r="8" spans="1:22" ht="15.6" x14ac:dyDescent="0.3">
      <c r="A8" s="6" t="s">
        <v>174</v>
      </c>
      <c r="B8" s="8" t="s">
        <v>186</v>
      </c>
      <c r="D8" t="s">
        <v>334</v>
      </c>
      <c r="L8" s="32" t="s">
        <v>219</v>
      </c>
      <c r="M8" s="32" t="s">
        <v>232</v>
      </c>
      <c r="N8" s="33" t="s">
        <v>233</v>
      </c>
      <c r="T8" s="38" t="s">
        <v>219</v>
      </c>
      <c r="U8" s="39" t="s">
        <v>225</v>
      </c>
      <c r="V8" t="str">
        <f t="shared" si="0"/>
        <v>Bali</v>
      </c>
    </row>
    <row r="9" spans="1:22" ht="15.6" x14ac:dyDescent="0.3">
      <c r="A9" s="6" t="s">
        <v>175</v>
      </c>
      <c r="B9" s="8" t="s">
        <v>184</v>
      </c>
      <c r="D9" t="s">
        <v>334</v>
      </c>
      <c r="L9" s="34" t="s">
        <v>219</v>
      </c>
      <c r="M9" s="34" t="s">
        <v>234</v>
      </c>
      <c r="N9" s="35" t="s">
        <v>235</v>
      </c>
      <c r="T9" s="38" t="s">
        <v>219</v>
      </c>
      <c r="U9" s="39" t="s">
        <v>265</v>
      </c>
      <c r="V9" t="str">
        <f t="shared" si="0"/>
        <v>Thailand</v>
      </c>
    </row>
    <row r="10" spans="1:22" ht="15.6" x14ac:dyDescent="0.3">
      <c r="A10" s="6" t="s">
        <v>176</v>
      </c>
      <c r="B10" s="8" t="s">
        <v>188</v>
      </c>
      <c r="D10" t="s">
        <v>334</v>
      </c>
      <c r="L10" s="32" t="s">
        <v>219</v>
      </c>
      <c r="M10" s="32" t="s">
        <v>236</v>
      </c>
      <c r="N10" s="33" t="s">
        <v>237</v>
      </c>
      <c r="T10" s="40" t="s">
        <v>219</v>
      </c>
      <c r="U10" s="41" t="s">
        <v>266</v>
      </c>
      <c r="V10" t="str">
        <f t="shared" si="0"/>
        <v>Thailand</v>
      </c>
    </row>
    <row r="11" spans="1:22" ht="15.6" x14ac:dyDescent="0.3">
      <c r="A11" s="6" t="s">
        <v>177</v>
      </c>
      <c r="B11" s="8" t="s">
        <v>187</v>
      </c>
      <c r="D11" t="s">
        <v>334</v>
      </c>
      <c r="L11" s="34" t="s">
        <v>219</v>
      </c>
      <c r="M11" s="34" t="s">
        <v>238</v>
      </c>
      <c r="N11" s="35" t="s">
        <v>239</v>
      </c>
      <c r="T11" s="40" t="s">
        <v>242</v>
      </c>
      <c r="U11" s="41" t="s">
        <v>267</v>
      </c>
      <c r="V11" t="str">
        <f t="shared" si="0"/>
        <v>South India</v>
      </c>
    </row>
    <row r="12" spans="1:22" ht="15.6" x14ac:dyDescent="0.3">
      <c r="A12" s="6" t="s">
        <v>178</v>
      </c>
      <c r="B12" s="8" t="s">
        <v>189</v>
      </c>
      <c r="D12" t="s">
        <v>334</v>
      </c>
      <c r="L12" s="32" t="s">
        <v>219</v>
      </c>
      <c r="M12" s="32" t="s">
        <v>240</v>
      </c>
      <c r="N12" s="33" t="s">
        <v>241</v>
      </c>
      <c r="T12" s="38" t="s">
        <v>219</v>
      </c>
      <c r="U12" s="39" t="s">
        <v>268</v>
      </c>
      <c r="V12" t="str">
        <f t="shared" si="0"/>
        <v>Thailand</v>
      </c>
    </row>
    <row r="13" spans="1:22" ht="15.6" x14ac:dyDescent="0.3">
      <c r="A13" s="6" t="s">
        <v>193</v>
      </c>
      <c r="B13" s="8" t="s">
        <v>192</v>
      </c>
      <c r="D13" t="s">
        <v>334</v>
      </c>
      <c r="L13" s="34" t="s">
        <v>242</v>
      </c>
      <c r="M13" s="34" t="s">
        <v>243</v>
      </c>
      <c r="N13" s="35" t="s">
        <v>244</v>
      </c>
      <c r="T13" s="38" t="s">
        <v>242</v>
      </c>
      <c r="U13" s="39" t="s">
        <v>269</v>
      </c>
      <c r="V13" t="str">
        <f t="shared" si="0"/>
        <v>Kerala</v>
      </c>
    </row>
    <row r="14" spans="1:22" ht="15.6" x14ac:dyDescent="0.3">
      <c r="A14" s="6" t="s">
        <v>179</v>
      </c>
      <c r="B14" s="8" t="s">
        <v>194</v>
      </c>
      <c r="D14" t="s">
        <v>334</v>
      </c>
      <c r="L14" s="32" t="s">
        <v>242</v>
      </c>
      <c r="M14" s="32" t="s">
        <v>245</v>
      </c>
      <c r="N14" s="33" t="s">
        <v>246</v>
      </c>
      <c r="T14" s="40" t="s">
        <v>219</v>
      </c>
      <c r="U14" s="41" t="s">
        <v>270</v>
      </c>
      <c r="V14" t="str">
        <f t="shared" si="0"/>
        <v>Sri Lanka</v>
      </c>
    </row>
    <row r="15" spans="1:22" ht="15.6" x14ac:dyDescent="0.3">
      <c r="A15" s="9" t="s">
        <v>191</v>
      </c>
      <c r="B15" t="s">
        <v>190</v>
      </c>
      <c r="D15" t="s">
        <v>334</v>
      </c>
      <c r="L15" s="34" t="s">
        <v>242</v>
      </c>
      <c r="M15" s="34" t="s">
        <v>247</v>
      </c>
      <c r="N15" s="35" t="s">
        <v>248</v>
      </c>
      <c r="T15" s="38" t="s">
        <v>242</v>
      </c>
      <c r="U15" s="39" t="s">
        <v>271</v>
      </c>
      <c r="V15" t="str">
        <f t="shared" si="0"/>
        <v>South India</v>
      </c>
    </row>
    <row r="16" spans="1:22" x14ac:dyDescent="0.3">
      <c r="L16" s="32" t="s">
        <v>242</v>
      </c>
      <c r="M16" s="32" t="s">
        <v>249</v>
      </c>
      <c r="N16" s="33" t="s">
        <v>250</v>
      </c>
      <c r="T16" s="38" t="s">
        <v>219</v>
      </c>
      <c r="U16" s="39" t="s">
        <v>272</v>
      </c>
      <c r="V16" t="str">
        <f t="shared" si="0"/>
        <v>Vietnam</v>
      </c>
    </row>
    <row r="17" spans="1:22" x14ac:dyDescent="0.3">
      <c r="L17" s="34" t="s">
        <v>242</v>
      </c>
      <c r="M17" s="34" t="s">
        <v>251</v>
      </c>
      <c r="N17" s="35" t="s">
        <v>252</v>
      </c>
      <c r="T17" s="38" t="s">
        <v>242</v>
      </c>
      <c r="U17" s="39" t="s">
        <v>273</v>
      </c>
      <c r="V17" t="str">
        <f t="shared" si="0"/>
        <v>Himachal</v>
      </c>
    </row>
    <row r="18" spans="1:22" x14ac:dyDescent="0.3">
      <c r="L18" s="32" t="s">
        <v>242</v>
      </c>
      <c r="M18" s="32" t="s">
        <v>253</v>
      </c>
      <c r="N18" s="33" t="s">
        <v>254</v>
      </c>
      <c r="T18" s="40" t="s">
        <v>242</v>
      </c>
      <c r="U18" s="41" t="s">
        <v>274</v>
      </c>
      <c r="V18" t="str">
        <f t="shared" si="0"/>
        <v>Himachal</v>
      </c>
    </row>
    <row r="19" spans="1:22" x14ac:dyDescent="0.3">
      <c r="A19" t="s">
        <v>159</v>
      </c>
      <c r="L19" s="34" t="s">
        <v>242</v>
      </c>
      <c r="M19" s="34" t="s">
        <v>255</v>
      </c>
      <c r="N19" s="35" t="s">
        <v>256</v>
      </c>
      <c r="T19" s="40" t="s">
        <v>219</v>
      </c>
      <c r="U19" s="41" t="s">
        <v>223</v>
      </c>
      <c r="V19" t="str">
        <f t="shared" si="0"/>
        <v>Dubai</v>
      </c>
    </row>
    <row r="20" spans="1:22" x14ac:dyDescent="0.3">
      <c r="A20" t="s">
        <v>161</v>
      </c>
      <c r="L20" s="36" t="s">
        <v>242</v>
      </c>
      <c r="M20" s="36" t="s">
        <v>257</v>
      </c>
      <c r="N20" s="37" t="s">
        <v>258</v>
      </c>
      <c r="T20" s="38" t="s">
        <v>219</v>
      </c>
      <c r="U20" s="39" t="s">
        <v>229</v>
      </c>
      <c r="V20" t="str">
        <f t="shared" si="0"/>
        <v>Europe</v>
      </c>
    </row>
    <row r="21" spans="1:22" x14ac:dyDescent="0.3">
      <c r="A21" t="s">
        <v>162</v>
      </c>
      <c r="T21" s="38" t="s">
        <v>219</v>
      </c>
      <c r="U21" s="39" t="s">
        <v>275</v>
      </c>
      <c r="V21" t="str">
        <f t="shared" si="0"/>
        <v>Europe</v>
      </c>
    </row>
    <row r="22" spans="1:22" x14ac:dyDescent="0.3">
      <c r="A22" t="s">
        <v>163</v>
      </c>
      <c r="T22" s="40" t="s">
        <v>219</v>
      </c>
      <c r="U22" s="41" t="s">
        <v>276</v>
      </c>
      <c r="V22" t="str">
        <f t="shared" si="0"/>
        <v>Malaysia</v>
      </c>
    </row>
    <row r="23" spans="1:22" x14ac:dyDescent="0.3">
      <c r="T23" s="38" t="s">
        <v>242</v>
      </c>
      <c r="U23" s="39" t="s">
        <v>277</v>
      </c>
      <c r="V23" t="str">
        <f t="shared" si="0"/>
        <v>Gujarat</v>
      </c>
    </row>
    <row r="24" spans="1:22" x14ac:dyDescent="0.3">
      <c r="T24" s="40" t="s">
        <v>242</v>
      </c>
      <c r="U24" s="41" t="s">
        <v>252</v>
      </c>
      <c r="V24" t="str">
        <f t="shared" si="0"/>
        <v>Gujarat</v>
      </c>
    </row>
    <row r="25" spans="1:22" x14ac:dyDescent="0.3">
      <c r="T25" s="40" t="s">
        <v>242</v>
      </c>
      <c r="U25" s="41" t="s">
        <v>278</v>
      </c>
      <c r="V25" t="str">
        <f t="shared" si="0"/>
        <v>Kashmir</v>
      </c>
    </row>
    <row r="26" spans="1:22" x14ac:dyDescent="0.3">
      <c r="T26" s="40" t="s">
        <v>219</v>
      </c>
      <c r="U26" s="41" t="s">
        <v>279</v>
      </c>
      <c r="V26" t="str">
        <f t="shared" si="0"/>
        <v>Vietnam</v>
      </c>
    </row>
    <row r="27" spans="1:22" x14ac:dyDescent="0.3">
      <c r="B27" t="s">
        <v>135</v>
      </c>
      <c r="C27" t="s">
        <v>1</v>
      </c>
      <c r="T27" s="38" t="s">
        <v>219</v>
      </c>
      <c r="U27" s="39" t="s">
        <v>280</v>
      </c>
      <c r="V27" t="str">
        <f t="shared" si="0"/>
        <v>Vietnam</v>
      </c>
    </row>
    <row r="28" spans="1:22" x14ac:dyDescent="0.3">
      <c r="A28" s="29" t="s">
        <v>119</v>
      </c>
      <c r="B28" t="s">
        <v>120</v>
      </c>
      <c r="C28" t="s">
        <v>137</v>
      </c>
      <c r="D28" t="s">
        <v>213</v>
      </c>
      <c r="T28" s="38" t="s">
        <v>242</v>
      </c>
      <c r="U28" s="39" t="s">
        <v>281</v>
      </c>
      <c r="V28" t="str">
        <f t="shared" si="0"/>
        <v>Andaman</v>
      </c>
    </row>
    <row r="29" spans="1:22" x14ac:dyDescent="0.3">
      <c r="B29" t="s">
        <v>121</v>
      </c>
      <c r="C29" t="s">
        <v>138</v>
      </c>
      <c r="D29" t="s">
        <v>134</v>
      </c>
      <c r="T29" s="40" t="s">
        <v>242</v>
      </c>
      <c r="U29" s="41" t="s">
        <v>258</v>
      </c>
      <c r="V29" t="str">
        <f t="shared" si="0"/>
        <v>Himachal</v>
      </c>
    </row>
    <row r="30" spans="1:22" x14ac:dyDescent="0.3">
      <c r="C30" t="s">
        <v>214</v>
      </c>
      <c r="D30" t="s">
        <v>215</v>
      </c>
      <c r="T30" s="40" t="s">
        <v>219</v>
      </c>
      <c r="U30" s="41" t="s">
        <v>282</v>
      </c>
      <c r="V30" t="str">
        <f t="shared" si="0"/>
        <v>Vietnam</v>
      </c>
    </row>
    <row r="31" spans="1:22" x14ac:dyDescent="0.3">
      <c r="T31" s="38" t="s">
        <v>219</v>
      </c>
      <c r="U31" s="39" t="s">
        <v>283</v>
      </c>
      <c r="V31" t="str">
        <f t="shared" si="0"/>
        <v>Bali</v>
      </c>
    </row>
    <row r="32" spans="1:22" x14ac:dyDescent="0.3">
      <c r="T32" s="40" t="s">
        <v>242</v>
      </c>
      <c r="U32" s="41" t="s">
        <v>284</v>
      </c>
      <c r="V32" t="str">
        <f t="shared" si="0"/>
        <v>Rajasthan</v>
      </c>
    </row>
    <row r="33" spans="20:22" x14ac:dyDescent="0.3">
      <c r="T33" s="38" t="s">
        <v>242</v>
      </c>
      <c r="U33" s="39" t="s">
        <v>285</v>
      </c>
      <c r="V33" t="str">
        <f t="shared" si="0"/>
        <v>Rajasthan</v>
      </c>
    </row>
    <row r="34" spans="20:22" x14ac:dyDescent="0.3">
      <c r="T34" s="40" t="s">
        <v>219</v>
      </c>
      <c r="U34" s="41" t="s">
        <v>286</v>
      </c>
      <c r="V34" t="str">
        <f t="shared" si="0"/>
        <v>Bali</v>
      </c>
    </row>
    <row r="35" spans="20:22" x14ac:dyDescent="0.3">
      <c r="T35" s="38" t="s">
        <v>242</v>
      </c>
      <c r="U35" s="39" t="s">
        <v>287</v>
      </c>
      <c r="V35" t="str">
        <f t="shared" si="0"/>
        <v>Himachal</v>
      </c>
    </row>
    <row r="36" spans="20:22" x14ac:dyDescent="0.3">
      <c r="T36" s="40" t="s">
        <v>242</v>
      </c>
      <c r="U36" s="41" t="s">
        <v>288</v>
      </c>
      <c r="V36" t="str">
        <f t="shared" si="0"/>
        <v>Rajasthan</v>
      </c>
    </row>
    <row r="37" spans="20:22" x14ac:dyDescent="0.3">
      <c r="T37" s="38" t="s">
        <v>219</v>
      </c>
      <c r="U37" s="39" t="s">
        <v>289</v>
      </c>
      <c r="V37" t="str">
        <f t="shared" si="0"/>
        <v>Sri Lanka</v>
      </c>
    </row>
    <row r="38" spans="20:22" x14ac:dyDescent="0.3">
      <c r="T38" s="38" t="s">
        <v>242</v>
      </c>
      <c r="U38" s="39" t="s">
        <v>290</v>
      </c>
      <c r="V38" t="str">
        <f t="shared" si="0"/>
        <v>Kerala</v>
      </c>
    </row>
    <row r="39" spans="20:22" x14ac:dyDescent="0.3">
      <c r="T39" s="40" t="s">
        <v>242</v>
      </c>
      <c r="U39" s="41" t="s">
        <v>254</v>
      </c>
      <c r="V39" t="str">
        <f t="shared" si="0"/>
        <v>Kashmir</v>
      </c>
    </row>
    <row r="40" spans="20:22" x14ac:dyDescent="0.3">
      <c r="T40" s="40" t="s">
        <v>242</v>
      </c>
      <c r="U40" s="41" t="s">
        <v>244</v>
      </c>
      <c r="V40" t="str">
        <f t="shared" si="0"/>
        <v>Kerala</v>
      </c>
    </row>
    <row r="41" spans="20:22" x14ac:dyDescent="0.3">
      <c r="T41" s="40" t="s">
        <v>219</v>
      </c>
      <c r="U41" s="41" t="s">
        <v>291</v>
      </c>
      <c r="V41" t="str">
        <f t="shared" si="0"/>
        <v>Thailand</v>
      </c>
    </row>
    <row r="42" spans="20:22" x14ac:dyDescent="0.3">
      <c r="T42" s="38" t="s">
        <v>219</v>
      </c>
      <c r="U42" s="39" t="s">
        <v>292</v>
      </c>
      <c r="V42" t="str">
        <f t="shared" si="0"/>
        <v>Thailand</v>
      </c>
    </row>
    <row r="43" spans="20:22" x14ac:dyDescent="0.3">
      <c r="T43" s="38" t="s">
        <v>219</v>
      </c>
      <c r="U43" s="39" t="s">
        <v>293</v>
      </c>
      <c r="V43" t="str">
        <f t="shared" si="0"/>
        <v>Malaysia</v>
      </c>
    </row>
    <row r="44" spans="20:22" x14ac:dyDescent="0.3">
      <c r="T44" s="40" t="s">
        <v>242</v>
      </c>
      <c r="U44" s="41" t="s">
        <v>256</v>
      </c>
      <c r="V44" t="str">
        <f t="shared" si="0"/>
        <v>Ladakh</v>
      </c>
    </row>
    <row r="45" spans="20:22" x14ac:dyDescent="0.3">
      <c r="T45" s="38" t="s">
        <v>219</v>
      </c>
      <c r="U45" s="39" t="s">
        <v>294</v>
      </c>
      <c r="V45" t="str">
        <f t="shared" si="0"/>
        <v>Malaysia</v>
      </c>
    </row>
    <row r="46" spans="20:22" x14ac:dyDescent="0.3">
      <c r="T46" s="38" t="s">
        <v>242</v>
      </c>
      <c r="U46" s="39" t="s">
        <v>295</v>
      </c>
      <c r="V46" t="str">
        <f t="shared" si="0"/>
        <v>Ladakh</v>
      </c>
    </row>
    <row r="47" spans="20:22" x14ac:dyDescent="0.3">
      <c r="T47" s="40" t="s">
        <v>219</v>
      </c>
      <c r="U47" s="41" t="s">
        <v>296</v>
      </c>
      <c r="V47" t="str">
        <f t="shared" si="0"/>
        <v>UK</v>
      </c>
    </row>
    <row r="48" spans="20:22" x14ac:dyDescent="0.3">
      <c r="T48" s="40" t="s">
        <v>219</v>
      </c>
      <c r="U48" s="41" t="s">
        <v>239</v>
      </c>
      <c r="V48" t="str">
        <f t="shared" si="0"/>
        <v>Malaysia</v>
      </c>
    </row>
    <row r="49" spans="20:22" x14ac:dyDescent="0.3">
      <c r="T49" s="38" t="s">
        <v>219</v>
      </c>
      <c r="U49" s="39" t="s">
        <v>235</v>
      </c>
      <c r="V49" t="str">
        <f t="shared" si="0"/>
        <v>Maldives</v>
      </c>
    </row>
    <row r="50" spans="20:22" x14ac:dyDescent="0.3">
      <c r="T50" s="40" t="s">
        <v>242</v>
      </c>
      <c r="U50" s="41" t="s">
        <v>297</v>
      </c>
      <c r="V50" t="str">
        <f t="shared" si="0"/>
        <v>Himachal</v>
      </c>
    </row>
    <row r="51" spans="20:22" x14ac:dyDescent="0.3">
      <c r="T51" s="38" t="s">
        <v>219</v>
      </c>
      <c r="U51" s="39" t="s">
        <v>236</v>
      </c>
      <c r="V51" t="str">
        <f t="shared" si="0"/>
        <v>Mauririus</v>
      </c>
    </row>
    <row r="52" spans="20:22" x14ac:dyDescent="0.3">
      <c r="T52" s="40" t="s">
        <v>219</v>
      </c>
      <c r="U52" s="41" t="s">
        <v>298</v>
      </c>
      <c r="V52" t="str">
        <f t="shared" si="0"/>
        <v>Maldives</v>
      </c>
    </row>
    <row r="53" spans="20:22" x14ac:dyDescent="0.3">
      <c r="T53" s="40" t="s">
        <v>242</v>
      </c>
      <c r="U53" s="41" t="s">
        <v>299</v>
      </c>
      <c r="V53" t="str">
        <f t="shared" si="0"/>
        <v>Rajasthan</v>
      </c>
    </row>
    <row r="54" spans="20:22" x14ac:dyDescent="0.3">
      <c r="T54" s="40" t="s">
        <v>242</v>
      </c>
      <c r="U54" s="41" t="s">
        <v>300</v>
      </c>
      <c r="V54" t="str">
        <f t="shared" si="0"/>
        <v>Kerala</v>
      </c>
    </row>
    <row r="55" spans="20:22" x14ac:dyDescent="0.3">
      <c r="T55" s="38" t="s">
        <v>242</v>
      </c>
      <c r="U55" s="39" t="s">
        <v>301</v>
      </c>
      <c r="V55" t="str">
        <f t="shared" si="0"/>
        <v>South India</v>
      </c>
    </row>
    <row r="56" spans="20:22" x14ac:dyDescent="0.3">
      <c r="T56" s="40" t="s">
        <v>242</v>
      </c>
      <c r="U56" s="41" t="s">
        <v>302</v>
      </c>
      <c r="V56" t="str">
        <f t="shared" si="0"/>
        <v>Andaman</v>
      </c>
    </row>
    <row r="57" spans="20:22" x14ac:dyDescent="0.3">
      <c r="T57" s="38" t="s">
        <v>219</v>
      </c>
      <c r="U57" s="39" t="s">
        <v>303</v>
      </c>
      <c r="V57" t="str">
        <f t="shared" si="0"/>
        <v>Europe</v>
      </c>
    </row>
    <row r="58" spans="20:22" x14ac:dyDescent="0.3">
      <c r="T58" s="38" t="s">
        <v>242</v>
      </c>
      <c r="U58" s="39" t="s">
        <v>304</v>
      </c>
      <c r="V58" t="str">
        <f t="shared" si="0"/>
        <v>Ladakh</v>
      </c>
    </row>
    <row r="59" spans="20:22" x14ac:dyDescent="0.3">
      <c r="T59" s="40" t="s">
        <v>242</v>
      </c>
      <c r="U59" s="41" t="s">
        <v>305</v>
      </c>
      <c r="V59" t="str">
        <f t="shared" si="0"/>
        <v>South India</v>
      </c>
    </row>
    <row r="60" spans="20:22" x14ac:dyDescent="0.3">
      <c r="T60" s="38" t="s">
        <v>242</v>
      </c>
      <c r="U60" s="39" t="s">
        <v>306</v>
      </c>
      <c r="V60" t="str">
        <f t="shared" si="0"/>
        <v>Kashmir</v>
      </c>
    </row>
    <row r="61" spans="20:22" x14ac:dyDescent="0.3">
      <c r="T61" s="40" t="s">
        <v>219</v>
      </c>
      <c r="U61" s="41" t="s">
        <v>307</v>
      </c>
      <c r="V61" t="str">
        <f t="shared" si="0"/>
        <v>Europe</v>
      </c>
    </row>
    <row r="62" spans="20:22" x14ac:dyDescent="0.3">
      <c r="T62" s="40" t="s">
        <v>219</v>
      </c>
      <c r="U62" s="41" t="s">
        <v>308</v>
      </c>
      <c r="V62" t="str">
        <f t="shared" si="0"/>
        <v>Thailand</v>
      </c>
    </row>
    <row r="63" spans="20:22" x14ac:dyDescent="0.3">
      <c r="T63" s="38" t="s">
        <v>219</v>
      </c>
      <c r="U63" s="39" t="s">
        <v>309</v>
      </c>
      <c r="V63" t="str">
        <f t="shared" si="0"/>
        <v>Thailand</v>
      </c>
    </row>
    <row r="64" spans="20:22" x14ac:dyDescent="0.3">
      <c r="T64" s="40" t="s">
        <v>242</v>
      </c>
      <c r="U64" s="41" t="s">
        <v>310</v>
      </c>
      <c r="V64" t="str">
        <f t="shared" si="0"/>
        <v>Andaman</v>
      </c>
    </row>
    <row r="65" spans="20:22" x14ac:dyDescent="0.3">
      <c r="T65" s="38" t="s">
        <v>242</v>
      </c>
      <c r="U65" s="39" t="s">
        <v>250</v>
      </c>
      <c r="V65" t="str">
        <f t="shared" si="0"/>
        <v>Rajasthan</v>
      </c>
    </row>
    <row r="66" spans="20:22" x14ac:dyDescent="0.3">
      <c r="T66" s="40" t="s">
        <v>242</v>
      </c>
      <c r="U66" s="41" t="s">
        <v>311</v>
      </c>
      <c r="V66" t="str">
        <f t="shared" si="0"/>
        <v>Kerala</v>
      </c>
    </row>
    <row r="67" spans="20:22" x14ac:dyDescent="0.3">
      <c r="T67" s="38" t="s">
        <v>242</v>
      </c>
      <c r="U67" s="39" t="s">
        <v>312</v>
      </c>
      <c r="V67" t="str">
        <f t="shared" ref="V67:V90" si="1">VLOOKUP("*"&amp;U67&amp;"*",$M$2:$N$20,2,0)</f>
        <v>Gujarat</v>
      </c>
    </row>
    <row r="68" spans="20:22" x14ac:dyDescent="0.3">
      <c r="T68" s="38" t="s">
        <v>242</v>
      </c>
      <c r="U68" s="39" t="s">
        <v>313</v>
      </c>
      <c r="V68" t="str">
        <f t="shared" si="1"/>
        <v>Rajasthan</v>
      </c>
    </row>
    <row r="69" spans="20:22" x14ac:dyDescent="0.3">
      <c r="T69" s="38" t="s">
        <v>242</v>
      </c>
      <c r="U69" s="39" t="s">
        <v>314</v>
      </c>
      <c r="V69" t="str">
        <f t="shared" si="1"/>
        <v>Rajasthan</v>
      </c>
    </row>
    <row r="70" spans="20:22" x14ac:dyDescent="0.3">
      <c r="T70" s="40" t="s">
        <v>219</v>
      </c>
      <c r="U70" s="41" t="s">
        <v>315</v>
      </c>
      <c r="V70" t="str">
        <f t="shared" si="1"/>
        <v>Europe</v>
      </c>
    </row>
    <row r="71" spans="20:22" x14ac:dyDescent="0.3">
      <c r="T71" s="40" t="s">
        <v>219</v>
      </c>
      <c r="U71" s="41" t="s">
        <v>316</v>
      </c>
      <c r="V71" t="str">
        <f t="shared" si="1"/>
        <v>UK</v>
      </c>
    </row>
    <row r="72" spans="20:22" x14ac:dyDescent="0.3">
      <c r="T72" s="40" t="s">
        <v>219</v>
      </c>
      <c r="U72" s="41" t="s">
        <v>317</v>
      </c>
      <c r="V72" t="str">
        <f t="shared" si="1"/>
        <v>Singapore</v>
      </c>
    </row>
    <row r="73" spans="20:22" x14ac:dyDescent="0.3">
      <c r="T73" s="38" t="s">
        <v>242</v>
      </c>
      <c r="U73" s="39" t="s">
        <v>318</v>
      </c>
      <c r="V73" t="str">
        <f t="shared" si="1"/>
        <v>Himachal</v>
      </c>
    </row>
    <row r="74" spans="20:22" x14ac:dyDescent="0.3">
      <c r="T74" s="38" t="s">
        <v>219</v>
      </c>
      <c r="U74" s="39" t="s">
        <v>233</v>
      </c>
      <c r="V74" t="str">
        <f t="shared" si="1"/>
        <v>Singapore</v>
      </c>
    </row>
    <row r="75" spans="20:22" x14ac:dyDescent="0.3">
      <c r="T75" s="40" t="s">
        <v>242</v>
      </c>
      <c r="U75" s="41" t="s">
        <v>319</v>
      </c>
      <c r="V75" t="str">
        <f t="shared" si="1"/>
        <v>Gujarat</v>
      </c>
    </row>
    <row r="76" spans="20:22" x14ac:dyDescent="0.3">
      <c r="T76" s="40" t="s">
        <v>242</v>
      </c>
      <c r="U76" s="41" t="s">
        <v>320</v>
      </c>
      <c r="V76" t="str">
        <f t="shared" si="1"/>
        <v>Kashmir</v>
      </c>
    </row>
    <row r="77" spans="20:22" x14ac:dyDescent="0.3">
      <c r="T77" s="38" t="s">
        <v>242</v>
      </c>
      <c r="U77" s="39" t="s">
        <v>248</v>
      </c>
      <c r="V77" t="str">
        <f t="shared" si="1"/>
        <v>South India</v>
      </c>
    </row>
    <row r="78" spans="20:22" x14ac:dyDescent="0.3">
      <c r="T78" s="38" t="s">
        <v>219</v>
      </c>
      <c r="U78" s="39" t="s">
        <v>321</v>
      </c>
      <c r="V78" t="str">
        <f t="shared" si="1"/>
        <v>Europe</v>
      </c>
    </row>
    <row r="79" spans="20:22" x14ac:dyDescent="0.3">
      <c r="T79" s="40" t="s">
        <v>219</v>
      </c>
      <c r="U79" s="41" t="s">
        <v>322</v>
      </c>
      <c r="V79" t="str">
        <f t="shared" si="1"/>
        <v>Sri Lanka</v>
      </c>
    </row>
    <row r="80" spans="20:22" x14ac:dyDescent="0.3">
      <c r="T80" s="38" t="s">
        <v>219</v>
      </c>
      <c r="U80" s="39" t="s">
        <v>323</v>
      </c>
      <c r="V80" t="str">
        <f t="shared" si="1"/>
        <v>Sri Lanka</v>
      </c>
    </row>
    <row r="81" spans="20:22" x14ac:dyDescent="0.3">
      <c r="T81" s="38" t="s">
        <v>242</v>
      </c>
      <c r="U81" s="39" t="s">
        <v>324</v>
      </c>
      <c r="V81" t="str">
        <f t="shared" si="1"/>
        <v>Kashmir</v>
      </c>
    </row>
    <row r="82" spans="20:22" x14ac:dyDescent="0.3">
      <c r="T82" s="38" t="s">
        <v>242</v>
      </c>
      <c r="U82" s="39" t="s">
        <v>325</v>
      </c>
      <c r="V82" t="str">
        <f t="shared" si="1"/>
        <v>Gujarat</v>
      </c>
    </row>
    <row r="83" spans="20:22" x14ac:dyDescent="0.3">
      <c r="T83" s="40" t="s">
        <v>219</v>
      </c>
      <c r="U83" s="41" t="s">
        <v>326</v>
      </c>
      <c r="V83" t="str">
        <f t="shared" si="1"/>
        <v>Europe</v>
      </c>
    </row>
    <row r="84" spans="20:22" x14ac:dyDescent="0.3">
      <c r="T84" s="40" t="s">
        <v>242</v>
      </c>
      <c r="U84" s="41" t="s">
        <v>327</v>
      </c>
      <c r="V84" t="str">
        <f t="shared" si="1"/>
        <v>Kerala</v>
      </c>
    </row>
    <row r="85" spans="20:22" x14ac:dyDescent="0.3">
      <c r="T85" s="40" t="s">
        <v>242</v>
      </c>
      <c r="U85" s="41" t="s">
        <v>328</v>
      </c>
      <c r="V85" t="str">
        <f t="shared" si="1"/>
        <v>South India</v>
      </c>
    </row>
    <row r="86" spans="20:22" x14ac:dyDescent="0.3">
      <c r="T86" s="40" t="s">
        <v>242</v>
      </c>
      <c r="U86" s="41" t="s">
        <v>329</v>
      </c>
      <c r="V86" t="str">
        <f t="shared" si="1"/>
        <v>Kerala</v>
      </c>
    </row>
    <row r="87" spans="20:22" x14ac:dyDescent="0.3">
      <c r="T87" s="38" t="s">
        <v>242</v>
      </c>
      <c r="U87" s="39" t="s">
        <v>330</v>
      </c>
      <c r="V87" t="str">
        <f t="shared" si="1"/>
        <v>Rajasthan</v>
      </c>
    </row>
    <row r="88" spans="20:22" x14ac:dyDescent="0.3">
      <c r="T88" s="38" t="s">
        <v>219</v>
      </c>
      <c r="U88" s="39" t="s">
        <v>231</v>
      </c>
      <c r="V88" t="str">
        <f t="shared" si="1"/>
        <v>Thailand</v>
      </c>
    </row>
    <row r="89" spans="20:22" x14ac:dyDescent="0.3">
      <c r="T89" s="40" t="s">
        <v>219</v>
      </c>
      <c r="U89" s="41" t="s">
        <v>227</v>
      </c>
      <c r="V89" t="str">
        <f t="shared" si="1"/>
        <v>Vietnam</v>
      </c>
    </row>
    <row r="90" spans="20:22" x14ac:dyDescent="0.3">
      <c r="T90" s="42" t="s">
        <v>219</v>
      </c>
      <c r="U90" s="43" t="s">
        <v>331</v>
      </c>
      <c r="V90" t="str">
        <f t="shared" si="1"/>
        <v>Dubai</v>
      </c>
    </row>
  </sheetData>
  <autoFilter ref="A1:B15" xr:uid="{D0F7F6C7-7116-4BE8-9A2C-84010AE0A051}">
    <filterColumn colId="0" showButton="0"/>
  </autoFilter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33FC-ECEB-4CC7-99D9-3EFDD89C0AFE}">
  <dimension ref="A1:M21"/>
  <sheetViews>
    <sheetView zoomScale="160" zoomScaleNormal="160" workbookViewId="0"/>
  </sheetViews>
  <sheetFormatPr defaultRowHeight="14.4" x14ac:dyDescent="0.3"/>
  <sheetData>
    <row r="1" spans="1:13" x14ac:dyDescent="0.3">
      <c r="A1" t="s">
        <v>198</v>
      </c>
      <c r="E1" t="s">
        <v>200</v>
      </c>
      <c r="F1" t="s">
        <v>199</v>
      </c>
    </row>
    <row r="2" spans="1:13" x14ac:dyDescent="0.3">
      <c r="A2" t="s">
        <v>138</v>
      </c>
      <c r="E2">
        <v>90000</v>
      </c>
      <c r="F2">
        <f>COUNTIF($E$2:E2,E2)</f>
        <v>1</v>
      </c>
    </row>
    <row r="3" spans="1:13" x14ac:dyDescent="0.3">
      <c r="A3" t="s">
        <v>137</v>
      </c>
      <c r="E3">
        <v>90000</v>
      </c>
      <c r="F3">
        <f>COUNTIF($E$2:E3,E3)</f>
        <v>2</v>
      </c>
      <c r="I3" t="s">
        <v>210</v>
      </c>
      <c r="J3" t="s">
        <v>211</v>
      </c>
      <c r="L3" t="s">
        <v>40</v>
      </c>
      <c r="M3" t="s">
        <v>41</v>
      </c>
    </row>
    <row r="4" spans="1:13" x14ac:dyDescent="0.3">
      <c r="A4" t="s">
        <v>195</v>
      </c>
      <c r="E4">
        <v>90000</v>
      </c>
      <c r="F4">
        <f>COUNTIF($E$2:E4,E4)</f>
        <v>3</v>
      </c>
      <c r="I4" t="b">
        <v>1</v>
      </c>
      <c r="J4" t="b">
        <v>0</v>
      </c>
      <c r="L4" t="b">
        <f>AND(I4,J4)</f>
        <v>0</v>
      </c>
      <c r="M4" t="b">
        <f>OR(I4,J4)</f>
        <v>1</v>
      </c>
    </row>
    <row r="5" spans="1:13" x14ac:dyDescent="0.3">
      <c r="A5" t="s">
        <v>196</v>
      </c>
      <c r="E5">
        <v>90000</v>
      </c>
      <c r="F5">
        <f>COUNTIF($E$2:E5,E5)</f>
        <v>4</v>
      </c>
      <c r="I5" t="b">
        <v>0</v>
      </c>
      <c r="J5" t="b">
        <v>1</v>
      </c>
      <c r="L5" t="b">
        <f t="shared" ref="L5:L7" si="0">AND(I5,J5)</f>
        <v>0</v>
      </c>
      <c r="M5" t="b">
        <f t="shared" ref="M5:M7" si="1">OR(I5,J5)</f>
        <v>1</v>
      </c>
    </row>
    <row r="6" spans="1:13" x14ac:dyDescent="0.3">
      <c r="A6" t="s">
        <v>121</v>
      </c>
      <c r="E6">
        <v>30000</v>
      </c>
      <c r="F6">
        <f>COUNTIF($E$2:E6,E6)</f>
        <v>1</v>
      </c>
      <c r="I6" t="b">
        <v>1</v>
      </c>
      <c r="J6" t="b">
        <v>1</v>
      </c>
      <c r="L6" s="29" t="b">
        <f t="shared" si="0"/>
        <v>1</v>
      </c>
      <c r="M6" t="b">
        <f t="shared" si="1"/>
        <v>1</v>
      </c>
    </row>
    <row r="7" spans="1:13" x14ac:dyDescent="0.3">
      <c r="A7" t="s">
        <v>138</v>
      </c>
      <c r="E7">
        <v>30000</v>
      </c>
      <c r="F7">
        <f>COUNTIF($E$2:E7,E7)</f>
        <v>2</v>
      </c>
      <c r="I7" t="b">
        <v>0</v>
      </c>
      <c r="J7" t="b">
        <v>0</v>
      </c>
      <c r="L7" t="b">
        <f t="shared" si="0"/>
        <v>0</v>
      </c>
      <c r="M7" s="29" t="b">
        <f t="shared" si="1"/>
        <v>0</v>
      </c>
    </row>
    <row r="8" spans="1:13" x14ac:dyDescent="0.3">
      <c r="A8" t="s">
        <v>138</v>
      </c>
      <c r="E8">
        <v>30000</v>
      </c>
      <c r="F8">
        <f>COUNTIF($E$2:E8,E8)</f>
        <v>3</v>
      </c>
    </row>
    <row r="9" spans="1:13" x14ac:dyDescent="0.3">
      <c r="A9" t="s">
        <v>121</v>
      </c>
      <c r="E9">
        <v>40000</v>
      </c>
      <c r="F9">
        <f>COUNTIF($E$2:E9,E9)</f>
        <v>1</v>
      </c>
    </row>
    <row r="10" spans="1:13" x14ac:dyDescent="0.3">
      <c r="A10" t="s">
        <v>137</v>
      </c>
      <c r="E10">
        <v>40000</v>
      </c>
      <c r="F10">
        <f>COUNTIF($E$2:E10,E10)</f>
        <v>2</v>
      </c>
    </row>
    <row r="11" spans="1:13" x14ac:dyDescent="0.3">
      <c r="A11" t="s">
        <v>195</v>
      </c>
      <c r="E11">
        <v>40000</v>
      </c>
      <c r="F11">
        <f>COUNTIF($E$2:E11,E11)</f>
        <v>3</v>
      </c>
    </row>
    <row r="12" spans="1:13" x14ac:dyDescent="0.3">
      <c r="A12" t="s">
        <v>196</v>
      </c>
      <c r="E12">
        <v>40000</v>
      </c>
      <c r="F12">
        <f>COUNTIF($E$2:E12,E12)</f>
        <v>4</v>
      </c>
    </row>
    <row r="13" spans="1:13" x14ac:dyDescent="0.3">
      <c r="A13" t="s">
        <v>121</v>
      </c>
    </row>
    <row r="14" spans="1:13" x14ac:dyDescent="0.3">
      <c r="A14" t="s">
        <v>137</v>
      </c>
    </row>
    <row r="15" spans="1:13" x14ac:dyDescent="0.3">
      <c r="A15" t="s">
        <v>195</v>
      </c>
    </row>
    <row r="16" spans="1:13" x14ac:dyDescent="0.3">
      <c r="A16" t="s">
        <v>196</v>
      </c>
    </row>
    <row r="17" spans="1:1" x14ac:dyDescent="0.3">
      <c r="A17" t="s">
        <v>197</v>
      </c>
    </row>
    <row r="18" spans="1:1" x14ac:dyDescent="0.3">
      <c r="A18" t="s">
        <v>137</v>
      </c>
    </row>
    <row r="19" spans="1:1" x14ac:dyDescent="0.3">
      <c r="A19" t="s">
        <v>195</v>
      </c>
    </row>
    <row r="20" spans="1:1" x14ac:dyDescent="0.3">
      <c r="A20" t="s">
        <v>196</v>
      </c>
    </row>
    <row r="21" spans="1:1" x14ac:dyDescent="0.3">
      <c r="A21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5E22-4E94-427D-B58C-95B2160420A4}">
  <dimension ref="E2:J17"/>
  <sheetViews>
    <sheetView workbookViewId="0">
      <selection activeCell="G20" sqref="G20"/>
    </sheetView>
  </sheetViews>
  <sheetFormatPr defaultRowHeight="14.4" x14ac:dyDescent="0.3"/>
  <cols>
    <col min="7" max="7" width="26.88671875" customWidth="1"/>
    <col min="8" max="8" width="17" customWidth="1"/>
  </cols>
  <sheetData>
    <row r="2" spans="5:10" x14ac:dyDescent="0.3">
      <c r="G2" s="74" t="s">
        <v>40</v>
      </c>
      <c r="H2" s="74"/>
    </row>
    <row r="3" spans="5:10" x14ac:dyDescent="0.3">
      <c r="G3" s="74" t="s">
        <v>352</v>
      </c>
      <c r="H3" s="74"/>
    </row>
    <row r="4" spans="5:10" x14ac:dyDescent="0.3">
      <c r="G4" t="s">
        <v>353</v>
      </c>
      <c r="H4" t="s">
        <v>354</v>
      </c>
    </row>
    <row r="5" spans="5:10" x14ac:dyDescent="0.3">
      <c r="G5" t="s">
        <v>355</v>
      </c>
      <c r="H5" t="s">
        <v>356</v>
      </c>
    </row>
    <row r="6" spans="5:10" x14ac:dyDescent="0.3">
      <c r="G6" t="s">
        <v>357</v>
      </c>
    </row>
    <row r="7" spans="5:10" x14ac:dyDescent="0.3">
      <c r="E7" s="29" t="s">
        <v>41</v>
      </c>
      <c r="G7" t="s">
        <v>358</v>
      </c>
    </row>
    <row r="8" spans="5:10" x14ac:dyDescent="0.3">
      <c r="G8" t="s">
        <v>359</v>
      </c>
    </row>
    <row r="9" spans="5:10" x14ac:dyDescent="0.3">
      <c r="G9" t="s">
        <v>360</v>
      </c>
    </row>
    <row r="11" spans="5:10" x14ac:dyDescent="0.3">
      <c r="I11" s="1"/>
    </row>
    <row r="12" spans="5:10" x14ac:dyDescent="0.3">
      <c r="F12" t="s">
        <v>361</v>
      </c>
      <c r="G12" t="b">
        <v>1</v>
      </c>
      <c r="H12" t="b">
        <v>0</v>
      </c>
      <c r="I12" s="1" t="b">
        <v>1</v>
      </c>
      <c r="J12" t="b">
        <v>0</v>
      </c>
    </row>
    <row r="13" spans="5:10" x14ac:dyDescent="0.3">
      <c r="F13" t="s">
        <v>362</v>
      </c>
      <c r="G13" t="b">
        <v>0</v>
      </c>
      <c r="H13" t="b">
        <v>1</v>
      </c>
      <c r="I13" s="1" t="b">
        <v>1</v>
      </c>
      <c r="J13" t="b">
        <v>0</v>
      </c>
    </row>
    <row r="14" spans="5:10" x14ac:dyDescent="0.3">
      <c r="I14" s="1"/>
    </row>
    <row r="15" spans="5:10" x14ac:dyDescent="0.3">
      <c r="F15" t="s">
        <v>40</v>
      </c>
      <c r="G15" t="b">
        <f>AND(G12,G13)</f>
        <v>0</v>
      </c>
      <c r="H15" t="b">
        <f t="shared" ref="H15:J15" si="0">AND(H12,H13)</f>
        <v>0</v>
      </c>
      <c r="I15" s="1" t="b">
        <f t="shared" si="0"/>
        <v>1</v>
      </c>
      <c r="J15" t="b">
        <f t="shared" si="0"/>
        <v>0</v>
      </c>
    </row>
    <row r="17" spans="6:10" x14ac:dyDescent="0.3">
      <c r="F17" t="s">
        <v>41</v>
      </c>
      <c r="G17" s="1" t="b">
        <f>OR(G12,G13)</f>
        <v>1</v>
      </c>
      <c r="H17" s="1" t="b">
        <f t="shared" ref="H17:J17" si="1">OR(H12,H13)</f>
        <v>1</v>
      </c>
      <c r="I17" s="1" t="b">
        <f t="shared" si="1"/>
        <v>1</v>
      </c>
      <c r="J17" t="b">
        <f t="shared" si="1"/>
        <v>0</v>
      </c>
    </row>
  </sheetData>
  <mergeCells count="2">
    <mergeCell ref="G3:H3"/>
    <mergeCell ref="G2:H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B672-5F7E-476D-BDF3-1A94E12A0266}">
  <dimension ref="A1:F4"/>
  <sheetViews>
    <sheetView zoomScale="131" zoomScaleNormal="131" workbookViewId="0">
      <selection activeCell="E9" sqref="E9"/>
    </sheetView>
  </sheetViews>
  <sheetFormatPr defaultRowHeight="14.4" x14ac:dyDescent="0.3"/>
  <cols>
    <col min="1" max="1" width="8.5546875" customWidth="1"/>
    <col min="5" max="5" width="34.77734375" customWidth="1"/>
  </cols>
  <sheetData>
    <row r="1" spans="1:6" x14ac:dyDescent="0.3">
      <c r="A1" s="75" t="s">
        <v>372</v>
      </c>
      <c r="B1" s="75"/>
      <c r="C1" s="75"/>
      <c r="D1" s="75"/>
      <c r="E1" s="75"/>
    </row>
    <row r="2" spans="1:6" x14ac:dyDescent="0.3">
      <c r="A2" s="48" t="s">
        <v>373</v>
      </c>
      <c r="B2" s="76" t="s">
        <v>374</v>
      </c>
      <c r="C2" s="77"/>
      <c r="D2" s="77"/>
      <c r="E2" s="78"/>
      <c r="F2" t="s">
        <v>350</v>
      </c>
    </row>
    <row r="3" spans="1:6" x14ac:dyDescent="0.3">
      <c r="A3" s="48" t="s">
        <v>375</v>
      </c>
      <c r="B3" s="76" t="s">
        <v>376</v>
      </c>
      <c r="C3" s="77"/>
      <c r="D3" s="77"/>
      <c r="E3" s="78"/>
      <c r="F3" t="s">
        <v>350</v>
      </c>
    </row>
    <row r="4" spans="1:6" x14ac:dyDescent="0.3">
      <c r="A4" s="48" t="s">
        <v>377</v>
      </c>
      <c r="B4" s="76" t="s">
        <v>378</v>
      </c>
      <c r="C4" s="77"/>
      <c r="D4" s="77"/>
      <c r="E4" s="78"/>
    </row>
  </sheetData>
  <mergeCells count="4">
    <mergeCell ref="A1:E1"/>
    <mergeCell ref="B2:E2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HomeTask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2023-06-18T13:14:09Z</dcterms:created>
  <dcterms:modified xsi:type="dcterms:W3CDTF">2025-05-18T14:59:55Z</dcterms:modified>
</cp:coreProperties>
</file>