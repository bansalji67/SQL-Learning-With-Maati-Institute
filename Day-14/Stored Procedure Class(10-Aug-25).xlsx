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com" ContentType="image/pn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2.xml" ContentType="application/vnd.openxmlformats-officedocument.drawing+xml"/>
  <Override PartName="/xl/ctrlProps/ctrlProp1.xml" ContentType="application/vnd.ms-excel.controlproperti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5/Aug/10-Aug/Adv. SQL Server Training (10-Aug)/"/>
    </mc:Choice>
  </mc:AlternateContent>
  <xr:revisionPtr revIDLastSave="0" documentId="8_{57BE8375-0276-4F93-AE61-7B1E0F0DF0B5}" xr6:coauthVersionLast="47" xr6:coauthVersionMax="47" xr10:uidLastSave="{00000000-0000-0000-0000-000000000000}"/>
  <bookViews>
    <workbookView xWindow="-108" yWindow="-108" windowWidth="23256" windowHeight="12456" xr2:uid="{764AD741-3BFB-44BD-8F14-14FD2CB9C47B}"/>
  </bookViews>
  <sheets>
    <sheet name="Sheet1" sheetId="1" r:id="rId1"/>
    <sheet name="Query1" sheetId="4" r:id="rId2"/>
    <sheet name="Stored Procedure with Excel" sheetId="2" r:id="rId3"/>
    <sheet name="Sheet2" sheetId="6" r:id="rId4"/>
    <sheet name="Sheet3" sheetId="7" r:id="rId5"/>
    <sheet name="Excel" sheetId="8" r:id="rId6"/>
    <sheet name="Group By" sheetId="9" r:id="rId7"/>
    <sheet name="Pivot By" sheetId="10" r:id="rId8"/>
    <sheet name="AI. TRanslate" sheetId="11" r:id="rId9"/>
    <sheet name="Logo" sheetId="12" r:id="rId10"/>
    <sheet name="Sheet8" sheetId="13" r:id="rId11"/>
    <sheet name="Sheet9" sheetId="14" r:id="rId12"/>
    <sheet name="Sheet10" sheetId="15" r:id="rId13"/>
    <sheet name="Sheet4" sheetId="17" r:id="rId14"/>
    <sheet name="Sheet11" sheetId="16" r:id="rId15"/>
  </sheets>
  <definedNames>
    <definedName name="_xlnm._FilterDatabase" localSheetId="6" hidden="1">'Group By'!$A$1:$C$725</definedName>
    <definedName name="ExternalData_1" localSheetId="5" hidden="1">Excel!$D$5:$H$12</definedName>
    <definedName name="ExternalData_1" localSheetId="3" hidden="1">Sheet2!$J$4:$M$146</definedName>
    <definedName name="ExternalData_1" localSheetId="13" hidden="1">Sheet4!$A$1:$D$59</definedName>
    <definedName name="ExternalData_1" localSheetId="2" hidden="1">'Stored Procedure with Excel'!#REF!</definedName>
    <definedName name="Query_from_Connectity" localSheetId="3" hidden="1">Sheet2!$D$4:$G$22</definedName>
    <definedName name="Query_from_SQL" localSheetId="2" hidden="1">'Stored Procedure with Excel'!#REF!</definedName>
  </definedNames>
  <calcPr calcId="191029"/>
  <pivotCaches>
    <pivotCache cacheId="0" r:id="rId16"/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4" l="1"/>
  <c r="C4" i="14"/>
  <c r="C5" i="14"/>
  <c r="C6" i="14"/>
  <c r="C7" i="14"/>
  <c r="C8" i="14"/>
  <c r="C9" i="14"/>
  <c r="C10" i="14"/>
  <c r="C11" i="14"/>
  <c r="C12" i="14"/>
  <c r="C13" i="14"/>
  <c r="C2" i="14"/>
  <c r="I3" i="13"/>
  <c r="I4" i="13"/>
  <c r="I5" i="13"/>
  <c r="I6" i="13"/>
  <c r="I7" i="13"/>
  <c r="I8" i="13"/>
  <c r="I9" i="13"/>
  <c r="I10" i="13"/>
  <c r="I11" i="13"/>
  <c r="I12" i="13"/>
  <c r="I13" i="13"/>
  <c r="I2" i="13"/>
  <c r="B3" i="12"/>
  <c r="B4" i="12"/>
  <c r="B5" i="12"/>
  <c r="B6" i="12"/>
  <c r="B7" i="12"/>
  <c r="B8" i="12"/>
  <c r="B9" i="12"/>
  <c r="B10" i="12"/>
  <c r="B11" i="12"/>
  <c r="B12" i="12"/>
  <c r="B2" i="12"/>
  <c r="C3" i="11" a="1"/>
  <c r="C3" i="11" s="1"/>
  <c r="D3" i="11" a="1"/>
  <c r="D3" i="11" s="1"/>
  <c r="E3" i="11" a="1"/>
  <c r="E3" i="11" s="1"/>
  <c r="F3" i="11" a="1"/>
  <c r="F3" i="11" s="1"/>
  <c r="G3" i="11" a="1"/>
  <c r="G3" i="11" s="1"/>
  <c r="B3" i="11" a="1"/>
  <c r="B3" i="11" s="1"/>
  <c r="G17" i="10" a="1"/>
  <c r="G17" i="10" s="1"/>
  <c r="K4" i="9" a="1"/>
  <c r="J3" i="7"/>
  <c r="J4" i="7"/>
  <c r="J5" i="7"/>
  <c r="J2" i="7"/>
  <c r="K4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5C100F-8584-4006-802D-FB601C5C246F}" keepAlive="1" name="Query - Query1" description="Connection to the 'Query1' query in the workbook." type="5" refreshedVersion="8" background="1">
    <dbPr connection="Provider=Microsoft.Mashup.OleDb.1;Data Source=$Workbook$;Location=Query1;Extended Properties=&quot;&quot;" command="SELECT * FROM [Query1]"/>
  </connection>
  <connection id="2" xr16:uid="{085103FE-179C-4E6F-8A5C-B518971E5C4A}" keepAlive="1" name="Query - Query2" description="Connection to the 'Query2' query in the workbook." type="5" refreshedVersion="8" background="1">
    <dbPr connection="Provider=Microsoft.Mashup.OleDb.1;Data Source=$Workbook$;Location=Query2;Extended Properties=&quot;&quot;" command="SELECT * FROM [Query2]"/>
  </connection>
  <connection id="3" xr16:uid="{6D5E7D09-9EDC-4710-BF04-59532A2FE9E0}" keepAlive="1" name="Query - Query3" description="Connection to the 'Query3' query in the workbook." type="5" refreshedVersion="8" background="1" saveData="1">
    <dbPr connection="Provider=Microsoft.Mashup.OleDb.1;Data Source=$Workbook$;Location=Query3;Extended Properties=&quot;&quot;" command="SELECT * FROM [Query3]"/>
  </connection>
  <connection id="4" xr16:uid="{01B17292-7761-401C-B7E8-5CD7F58534D7}" keepAlive="1" name="Query - Query4" description="Connection to the 'Query4' query in the workbook." type="5" refreshedVersion="8" background="1" saveData="1">
    <dbPr connection="Provider=Microsoft.Mashup.OleDb.1;Data Source=$Workbook$;Location=Query4;Extended Properties=&quot;&quot;" command="SELECT * FROM [Query4]"/>
  </connection>
  <connection id="5" xr16:uid="{0AA4F629-D847-45F9-92CA-002C0E119451}" name="Query from Connectity" type="1" refreshedVersion="8" deleted="1" background="1" saveData="1">
    <dbPr connection="" command=""/>
  </connection>
  <connection id="6" xr16:uid="{D0D935E4-8743-4939-829A-5F8B8E2EDE35}" name="Query from Connectity1" type="1" refreshedVersion="8" background="1" saveData="1">
    <dbPr connection="DRIVER=SQL Server;SERVER=LAPTOP-S6MKDT5O\SQLEXPRESS;UID=MAATI;Trusted_Connection=Yes;APP=Microsoft Office;WSID=LAPTOP-S6MKDT5O;DATABASE=Basic_SQL" command="Execute Get_info 'CD'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cellMetadata count="1">
    <bk>
      <rc t="1" v="0"/>
    </bk>
  </cellMetadata>
  <valueMetadata count="1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</valueMetadata>
</metadata>
</file>

<file path=xl/sharedStrings.xml><?xml version="1.0" encoding="utf-8"?>
<sst xmlns="http://schemas.openxmlformats.org/spreadsheetml/2006/main" count="3824" uniqueCount="232">
  <si>
    <t>Stored Procedure in Microsoft SQL</t>
  </si>
  <si>
    <t>T-SQL</t>
  </si>
  <si>
    <t>PL-SQL</t>
  </si>
  <si>
    <t>Basic SQL</t>
  </si>
  <si>
    <t xml:space="preserve">Adv. SQL </t>
  </si>
  <si>
    <t>Procedure</t>
  </si>
  <si>
    <t>Stored</t>
  </si>
  <si>
    <t>=</t>
  </si>
  <si>
    <t>Stored Procedure</t>
  </si>
  <si>
    <t>Types of Stored Procedure</t>
  </si>
  <si>
    <t>1). System defined Stored Procedure</t>
  </si>
  <si>
    <t>2). User defined Stored Procedure</t>
  </si>
  <si>
    <t>Advantages of Stored Procedure</t>
  </si>
  <si>
    <t>1). Resuable</t>
  </si>
  <si>
    <t>2). Save Busienss Hours</t>
  </si>
  <si>
    <t>3). Reduce Traffic/Bandhwidth</t>
  </si>
  <si>
    <t>4). Easy to Maintain</t>
  </si>
  <si>
    <t>5). Strong Security</t>
  </si>
  <si>
    <t>7). Increase Accuracy</t>
  </si>
  <si>
    <t>8). Call multiple stored procedure in a single procedure</t>
  </si>
  <si>
    <t>Example of System defined Stored Procedure</t>
  </si>
  <si>
    <t>sp_help</t>
  </si>
  <si>
    <t>sp_helpdb</t>
  </si>
  <si>
    <t>sp_renamedb</t>
  </si>
  <si>
    <t>sp_who</t>
  </si>
  <si>
    <t>sp_helptext</t>
  </si>
  <si>
    <t>more than 500 Stored Procedure</t>
  </si>
  <si>
    <t>Sr.No.</t>
  </si>
  <si>
    <t>Stored Procedure Example</t>
  </si>
  <si>
    <t>Status</t>
  </si>
  <si>
    <t>1)</t>
  </si>
  <si>
    <t>Normal Stored procedure</t>
  </si>
  <si>
    <t>2)</t>
  </si>
  <si>
    <t>Stored procedure with Where Condition</t>
  </si>
  <si>
    <t>3)</t>
  </si>
  <si>
    <t>Stored Procedure with Single parameter</t>
  </si>
  <si>
    <t>4)</t>
  </si>
  <si>
    <t>Stored Procedure with Multiple parameter</t>
  </si>
  <si>
    <t>5)</t>
  </si>
  <si>
    <t>Stored Procedure with Set No count on Statement</t>
  </si>
  <si>
    <t>7)</t>
  </si>
  <si>
    <t>Stored Procedure with Report-1</t>
  </si>
  <si>
    <t>Stored Procedure with Group by</t>
  </si>
  <si>
    <t>Stored Procedure with Pivot Table</t>
  </si>
  <si>
    <t>Stored Procedure with show structure</t>
  </si>
  <si>
    <t>Stored procedure with Encryption</t>
  </si>
  <si>
    <t>Stored Procedure with Create Table (Static)</t>
  </si>
  <si>
    <t>Stored Procedure with Create Table (Dynamic)</t>
  </si>
  <si>
    <t>Stored Procedure with Insert command</t>
  </si>
  <si>
    <t>Stored procedure with Update Command</t>
  </si>
  <si>
    <t>Stored Procedure with Delete Command</t>
  </si>
  <si>
    <t>MAHA Stored Procedure</t>
  </si>
  <si>
    <t>17)</t>
  </si>
  <si>
    <t>Stored procedure with MS Excel</t>
  </si>
  <si>
    <t>18)</t>
  </si>
  <si>
    <t>Stored Procedure with MS Access</t>
  </si>
  <si>
    <t>19)</t>
  </si>
  <si>
    <t>Stored Procedure with Tableau</t>
  </si>
  <si>
    <t>20)</t>
  </si>
  <si>
    <t>Stored Procedure with PowerBI</t>
  </si>
  <si>
    <t>23)</t>
  </si>
  <si>
    <t>Call stroed Procedure under stored Proceured</t>
  </si>
  <si>
    <t>24)</t>
  </si>
  <si>
    <t xml:space="preserve">Stored procedure with Join </t>
  </si>
  <si>
    <t>25)</t>
  </si>
  <si>
    <t>Stored procedure with SubQuery</t>
  </si>
  <si>
    <t>26)</t>
  </si>
  <si>
    <t>Stored Procedure with Error Handler</t>
  </si>
  <si>
    <t>28)</t>
  </si>
  <si>
    <t>stored Procedure with Alter Command</t>
  </si>
  <si>
    <t>29)</t>
  </si>
  <si>
    <t>Stored procedure with Drop Command</t>
  </si>
  <si>
    <t>30)</t>
  </si>
  <si>
    <t>Advanced MAHA Stored Procedure</t>
  </si>
  <si>
    <t>Way to execute Stored Procedure</t>
  </si>
  <si>
    <t>Execute [Procedure Name] Parameter</t>
  </si>
  <si>
    <t>Exec [ProcedureName] Parameter</t>
  </si>
  <si>
    <t>[Procedure Name]</t>
  </si>
  <si>
    <t>Syntax</t>
  </si>
  <si>
    <t>Create Procedure [ProcedureName] '@parameterName1 DataType,'@parameterName2 DataType…</t>
  </si>
  <si>
    <t>as</t>
  </si>
  <si>
    <t xml:space="preserve">       Begin</t>
  </si>
  <si>
    <t xml:space="preserve">                  SQL Statement-1</t>
  </si>
  <si>
    <t xml:space="preserve">                  SQL Statement-2</t>
  </si>
  <si>
    <t xml:space="preserve">    End</t>
  </si>
  <si>
    <t xml:space="preserve">                  SQL Statement-3 etc</t>
  </si>
  <si>
    <t>TotalSales</t>
  </si>
  <si>
    <t>TotalProfit</t>
  </si>
  <si>
    <t>TotalQty</t>
  </si>
  <si>
    <t>6). Imporoved Proformnace</t>
  </si>
  <si>
    <t>Sp_helpUser</t>
  </si>
  <si>
    <t>Agent</t>
  </si>
  <si>
    <t>Arun Kumar</t>
  </si>
  <si>
    <t>Ashok Kumar</t>
  </si>
  <si>
    <t>Pramod Kumar</t>
  </si>
  <si>
    <t>Praveen Kumar</t>
  </si>
  <si>
    <t>@orderPriority</t>
  </si>
  <si>
    <t>Input</t>
  </si>
  <si>
    <t>@TotalSales</t>
  </si>
  <si>
    <t>Output</t>
  </si>
  <si>
    <t>A Stored Procedure is a prepare SQL Code that we can save the time and code reused multiple times</t>
  </si>
  <si>
    <t>Create Procedure ProcuedrName @VariableName as dataType,@variablename as datatype</t>
  </si>
  <si>
    <t xml:space="preserve">           begin</t>
  </si>
  <si>
    <t xml:space="preserve">End </t>
  </si>
  <si>
    <t>Execute Stored Procedure</t>
  </si>
  <si>
    <t>Execute ProcedureName 'Parameter'</t>
  </si>
  <si>
    <t>Exec ProcedureName 'Parameter'</t>
  </si>
  <si>
    <t>ProcedureName 'Parameter'</t>
  </si>
  <si>
    <t>Way-1</t>
  </si>
  <si>
    <t>Way-2</t>
  </si>
  <si>
    <t>Way-3</t>
  </si>
  <si>
    <t>AcctType</t>
  </si>
  <si>
    <t>IRA</t>
  </si>
  <si>
    <t>Rahul Kumar</t>
  </si>
  <si>
    <t>Month</t>
  </si>
  <si>
    <t>Year</t>
  </si>
  <si>
    <t>Mar</t>
  </si>
  <si>
    <t>Jan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</si>
  <si>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</si>
  <si>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</si>
  <si>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</si>
  <si>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</si>
  <si>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</si>
  <si>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</si>
  <si>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</si>
  <si>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</si>
  <si>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</si>
  <si>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</si>
  <si>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CD</t>
  </si>
  <si>
    <t>Sp_exec 'Syntax'</t>
  </si>
  <si>
    <t>Stored Procedure with Output statement (Count)</t>
  </si>
  <si>
    <t>Stored Procedure with Output statement (Sum)</t>
  </si>
  <si>
    <t>Denormalization</t>
  </si>
  <si>
    <t>EmpID,EmpName,Company,Salary</t>
  </si>
  <si>
    <t>111,Rajiv,EXL,42422</t>
  </si>
  <si>
    <t>Normalization</t>
  </si>
  <si>
    <t>EmpID</t>
  </si>
  <si>
    <t>EmpName</t>
  </si>
  <si>
    <t>Company</t>
  </si>
  <si>
    <t>Location</t>
  </si>
  <si>
    <t>Raj</t>
  </si>
  <si>
    <t>Manish</t>
  </si>
  <si>
    <t>Deepak</t>
  </si>
  <si>
    <t>Chandan</t>
  </si>
  <si>
    <t>Salary</t>
  </si>
  <si>
    <t>Types of Parameter</t>
  </si>
  <si>
    <t>1). Input</t>
  </si>
  <si>
    <t>2). Output</t>
  </si>
  <si>
    <t>Grand Total</t>
  </si>
  <si>
    <t>Sum of Sales</t>
  </si>
  <si>
    <t>Checking</t>
  </si>
  <si>
    <t>Varun Kumar</t>
  </si>
  <si>
    <t>Savings</t>
  </si>
  <si>
    <t xml:space="preserve">Sweta </t>
  </si>
  <si>
    <t>Sales</t>
  </si>
  <si>
    <t>Total</t>
  </si>
  <si>
    <t xml:space="preserve"> </t>
  </si>
  <si>
    <t>Pawan Kumar</t>
  </si>
  <si>
    <t>This is training session</t>
  </si>
  <si>
    <t>Hindi</t>
  </si>
  <si>
    <t>Punjabi</t>
  </si>
  <si>
    <t>Urdu</t>
  </si>
  <si>
    <t>Bangali</t>
  </si>
  <si>
    <t>Sanskrit</t>
  </si>
  <si>
    <t>Marathhi</t>
  </si>
  <si>
    <t>Apple</t>
  </si>
  <si>
    <t>Microsoft</t>
  </si>
  <si>
    <t>Google</t>
  </si>
  <si>
    <t>Twitter</t>
  </si>
  <si>
    <t>Wipro</t>
  </si>
  <si>
    <t>Instagram</t>
  </si>
  <si>
    <t>TCS</t>
  </si>
  <si>
    <t>KPMG</t>
  </si>
  <si>
    <t>HCL</t>
  </si>
  <si>
    <t>IBM</t>
  </si>
  <si>
    <t>PWC</t>
  </si>
  <si>
    <t>Logo</t>
  </si>
  <si>
    <t>Name</t>
  </si>
  <si>
    <t>Lokesh</t>
  </si>
  <si>
    <t>Radhey</t>
  </si>
  <si>
    <t>Pankaj</t>
  </si>
  <si>
    <t>Sandeep</t>
  </si>
  <si>
    <t>Punit</t>
  </si>
  <si>
    <t>Varun</t>
  </si>
  <si>
    <t>Kamal</t>
  </si>
  <si>
    <t>Hitesh</t>
  </si>
  <si>
    <t>Mon</t>
  </si>
  <si>
    <t>Tue</t>
  </si>
  <si>
    <t>Wed</t>
  </si>
  <si>
    <t>Thu</t>
  </si>
  <si>
    <t>Fri</t>
  </si>
  <si>
    <t>Sat</t>
  </si>
  <si>
    <t>Sun</t>
  </si>
  <si>
    <t>Total Count</t>
  </si>
  <si>
    <t>Tick Box</t>
  </si>
  <si>
    <t>Task Status</t>
  </si>
  <si>
    <t>Gurgaon</t>
  </si>
  <si>
    <t>Jitesh Kumar</t>
  </si>
  <si>
    <t>Noida</t>
  </si>
  <si>
    <t>Radhey Shyam</t>
  </si>
  <si>
    <t>Alt+D+O</t>
  </si>
  <si>
    <t>Delhi</t>
  </si>
  <si>
    <t>Mohit</t>
  </si>
  <si>
    <t>Pune</t>
  </si>
  <si>
    <t>Jitesh</t>
  </si>
  <si>
    <t>Lucknow</t>
  </si>
  <si>
    <t>sp_rename (Table)</t>
  </si>
  <si>
    <t>sp_rename (Field)</t>
  </si>
  <si>
    <t>Accttype</t>
  </si>
  <si>
    <t>Actual</t>
  </si>
  <si>
    <t>Target</t>
  </si>
  <si>
    <t>Abhishek Kumar</t>
  </si>
  <si>
    <t>6).</t>
  </si>
  <si>
    <t>8).</t>
  </si>
  <si>
    <t>14).</t>
  </si>
  <si>
    <t>15).</t>
  </si>
  <si>
    <t>16)</t>
  </si>
  <si>
    <t>17).</t>
  </si>
  <si>
    <t>9).</t>
  </si>
  <si>
    <t>10).</t>
  </si>
  <si>
    <t>11).</t>
  </si>
  <si>
    <t>12).</t>
  </si>
  <si>
    <t>13).</t>
  </si>
  <si>
    <t>Sp_Depends</t>
  </si>
  <si>
    <t>Sp_Who</t>
  </si>
  <si>
    <t>Sp_Configure</t>
  </si>
  <si>
    <t>Sp_recompile</t>
  </si>
  <si>
    <t>Syntax of User defined Stored Procedure</t>
  </si>
  <si>
    <t>Create Procedure ProcedureName parameter (Input/Output)</t>
  </si>
  <si>
    <t>begin</t>
  </si>
  <si>
    <t>-------------------Query Statement-1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</si>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</sst>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Britannic Bold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1" fillId="6" borderId="0" applyNumberFormat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0" fillId="4" borderId="10" xfId="0" applyFill="1" applyBorder="1"/>
    <xf numFmtId="0" fontId="0" fillId="0" borderId="10" xfId="0" applyBorder="1"/>
    <xf numFmtId="0" fontId="0" fillId="0" borderId="11" xfId="0" applyBorder="1"/>
    <xf numFmtId="0" fontId="0" fillId="4" borderId="11" xfId="0" applyFill="1" applyBorder="1"/>
    <xf numFmtId="0" fontId="7" fillId="4" borderId="10" xfId="0" applyFont="1" applyFill="1" applyBorder="1"/>
    <xf numFmtId="0" fontId="0" fillId="4" borderId="12" xfId="0" applyFill="1" applyBorder="1"/>
    <xf numFmtId="0" fontId="0" fillId="0" borderId="12" xfId="0" applyBorder="1"/>
    <xf numFmtId="0" fontId="8" fillId="0" borderId="0" xfId="0" applyFont="1"/>
    <xf numFmtId="0" fontId="6" fillId="5" borderId="0" xfId="0" applyFont="1" applyFill="1"/>
    <xf numFmtId="0" fontId="0" fillId="0" borderId="10" xfId="0" applyBorder="1" applyAlignment="1">
      <alignment horizontal="left"/>
    </xf>
    <xf numFmtId="0" fontId="4" fillId="0" borderId="10" xfId="0" applyFont="1" applyBorder="1"/>
    <xf numFmtId="0" fontId="0" fillId="0" borderId="0" xfId="0" quotePrefix="1"/>
    <xf numFmtId="0" fontId="0" fillId="0" borderId="0" xfId="0" applyAlignment="1">
      <alignment horizontal="left"/>
    </xf>
    <xf numFmtId="0" fontId="9" fillId="3" borderId="7" xfId="0" applyFont="1" applyFill="1" applyBorder="1"/>
    <xf numFmtId="0" fontId="9" fillId="3" borderId="8" xfId="0" applyFont="1" applyFill="1" applyBorder="1"/>
    <xf numFmtId="0" fontId="9" fillId="3" borderId="9" xfId="0" applyFont="1" applyFill="1" applyBorder="1"/>
    <xf numFmtId="0" fontId="0" fillId="0" borderId="0" xfId="0" pivotButton="1"/>
    <xf numFmtId="0" fontId="11" fillId="6" borderId="10" xfId="2" applyBorder="1"/>
    <xf numFmtId="0" fontId="12" fillId="0" borderId="10" xfId="0" applyFont="1" applyBorder="1" applyAlignment="1">
      <alignment horizontal="center"/>
    </xf>
    <xf numFmtId="0" fontId="0" fillId="5" borderId="0" xfId="0" applyFill="1"/>
    <xf numFmtId="0" fontId="0" fillId="0" borderId="1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0" borderId="0" xfId="0" applyFont="1"/>
    <xf numFmtId="0" fontId="0" fillId="7" borderId="10" xfId="0" applyFill="1" applyBorder="1"/>
    <xf numFmtId="0" fontId="2" fillId="8" borderId="0" xfId="0" applyFont="1" applyFill="1"/>
    <xf numFmtId="0" fontId="0" fillId="0" borderId="0" xfId="0" applyAlignment="1">
      <alignment horizontal="right"/>
    </xf>
    <xf numFmtId="0" fontId="2" fillId="0" borderId="10" xfId="0" applyFont="1" applyBorder="1"/>
    <xf numFmtId="0" fontId="2" fillId="0" borderId="13" xfId="0" applyFont="1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" borderId="1" xfId="1" applyFont="1" applyBorder="1" applyAlignment="1">
      <alignment horizontal="center" vertical="center"/>
    </xf>
    <xf numFmtId="0" fontId="7" fillId="2" borderId="2" xfId="1" applyFont="1" applyBorder="1" applyAlignment="1">
      <alignment horizontal="center" vertical="center"/>
    </xf>
    <xf numFmtId="0" fontId="7" fillId="2" borderId="3" xfId="1" applyFont="1" applyBorder="1" applyAlignment="1">
      <alignment horizontal="center" vertical="center"/>
    </xf>
    <xf numFmtId="0" fontId="7" fillId="2" borderId="4" xfId="1" applyFont="1" applyBorder="1" applyAlignment="1">
      <alignment horizontal="center" vertical="center"/>
    </xf>
    <xf numFmtId="0" fontId="7" fillId="2" borderId="5" xfId="1" applyFont="1" applyBorder="1" applyAlignment="1">
      <alignment horizontal="center" vertical="center"/>
    </xf>
    <xf numFmtId="0" fontId="7" fillId="2" borderId="6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40% - Accent1" xfId="1" builtinId="31"/>
    <cellStyle name="Accent1" xfId="2" builtinId="29"/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6CBD0260-797D-4323-B66C-CB5E0FBC78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20/07/relationships/rdRichValueWebImage" Target="richData/rdRichValueWebImage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microsoft.com/office/2022/11/relationships/FeaturePropertyBag" Target="featurePropertyBag/featurePropertyBag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313764</xdr:colOff>
      <xdr:row>9</xdr:row>
      <xdr:rowOff>67234</xdr:rowOff>
    </xdr:from>
    <xdr:to>
      <xdr:col>7</xdr:col>
      <xdr:colOff>147972</xdr:colOff>
      <xdr:row>30</xdr:row>
      <xdr:rowOff>79634</xdr:rowOff>
    </xdr:to>
    <xdr:pic>
      <xdr:nvPicPr>
        <xdr:cNvPr id="2" name="Picture 1" descr="A screenshot of a computer&#10;&#10;Description automatically generated">
          <a:extLst>
            <a:ext uri="{FF2B5EF4-FFF2-40B4-BE49-F238E27FC236}">
              <a16:creationId xmlns:a16="http://schemas.microsoft.com/office/drawing/2014/main" id="{AD2CF412-5D10-197B-CBC7-61072F548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4485" y="1731308"/>
          <a:ext cx="4047619" cy="3895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266700</xdr:colOff>
          <xdr:row>6</xdr:row>
          <xdr:rowOff>175260</xdr:rowOff>
        </xdr:from>
        <xdr:to>
          <xdr:col>5</xdr:col>
          <xdr:colOff>594360</xdr:colOff>
          <xdr:row>8</xdr:row>
          <xdr:rowOff>121920</xdr:rowOff>
        </xdr:to>
        <xdr:sp macro="" textlink="">
          <xdr:nvSpPr>
            <xdr:cNvPr id="14338" name="Button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E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 New Records</a:t>
              </a:r>
            </a:p>
          </xdr:txBody>
        </xdr:sp>
        <xdr:clientData fPrintsWithSheet="0"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orain Ansari" refreshedDate="45543.679047800928" createdVersion="8" refreshedVersion="8" minRefreshableVersion="3" recordCount="724" xr:uid="{81F92258-30D0-4CBD-B05B-C9E0DF33B846}">
  <cacheSource type="worksheet">
    <worksheetSource ref="A1:C725" sheet="Group By"/>
  </cacheSource>
  <cacheFields count="3">
    <cacheField name="Agent" numFmtId="0">
      <sharedItems count="9">
        <s v="Pramod Kumar"/>
        <s v="Praveen Kumar"/>
        <s v="Varun Kumar"/>
        <s v="Pawan Kumar"/>
        <s v="Ashok Kumar"/>
        <s v="Rahul Kumar"/>
        <s v="Arun Kumar"/>
        <s v="Sweta "/>
        <s v="Abhishek Kumar" u="1"/>
      </sharedItems>
    </cacheField>
    <cacheField name="AcctType" numFmtId="0">
      <sharedItems/>
    </cacheField>
    <cacheField name="Sales" numFmtId="0">
      <sharedItems containsSemiMixedTypes="0" containsString="0" containsNumber="1" containsInteger="1" minValue="101" maxValue="900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orain Ansari" refreshedDate="45543.679363888892" createdVersion="8" refreshedVersion="8" minRefreshableVersion="3" recordCount="724" xr:uid="{211F2BAB-7C6E-440A-9F50-B61B79303161}">
  <cacheSource type="worksheet">
    <worksheetSource ref="A1:C725" sheet="Pivot By"/>
  </cacheSource>
  <cacheFields count="3">
    <cacheField name="Agent" numFmtId="0">
      <sharedItems count="8">
        <s v="Pramod Kumar"/>
        <s v="Praveen Kumar"/>
        <s v="Varun Kumar"/>
        <s v="Pawan Kumar"/>
        <s v="Ashok Kumar"/>
        <s v="Rahul Kumar"/>
        <s v="Arun Kumar"/>
        <s v="Sweta "/>
      </sharedItems>
    </cacheField>
    <cacheField name="AcctType" numFmtId="0">
      <sharedItems count="4">
        <s v="Checking"/>
        <s v="Savings"/>
        <s v="CD"/>
        <s v="IRA"/>
      </sharedItems>
    </cacheField>
    <cacheField name="Sales" numFmtId="0">
      <sharedItems containsSemiMixedTypes="0" containsString="0" containsNumber="1" containsInteger="1" minValue="101" maxValue="900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4">
  <r>
    <x v="0"/>
    <s v="Checking"/>
    <n v="101"/>
  </r>
  <r>
    <x v="1"/>
    <s v="Checking"/>
    <n v="101"/>
  </r>
  <r>
    <x v="1"/>
    <s v="Checking"/>
    <n v="109"/>
  </r>
  <r>
    <x v="2"/>
    <s v="Checking"/>
    <n v="110"/>
  </r>
  <r>
    <x v="3"/>
    <s v="Checking"/>
    <n v="111"/>
  </r>
  <r>
    <x v="4"/>
    <s v="Checking"/>
    <n v="113"/>
  </r>
  <r>
    <x v="2"/>
    <s v="Checking"/>
    <n v="126"/>
  </r>
  <r>
    <x v="2"/>
    <s v="Checking"/>
    <n v="135"/>
  </r>
  <r>
    <x v="4"/>
    <s v="Checking"/>
    <n v="136"/>
  </r>
  <r>
    <x v="4"/>
    <s v="Checking"/>
    <n v="140"/>
  </r>
  <r>
    <x v="4"/>
    <s v="Checking"/>
    <n v="145"/>
  </r>
  <r>
    <x v="3"/>
    <s v="Checking"/>
    <n v="156"/>
  </r>
  <r>
    <x v="5"/>
    <s v="Checking"/>
    <n v="162"/>
  </r>
  <r>
    <x v="1"/>
    <s v="Checking"/>
    <n v="163"/>
  </r>
  <r>
    <x v="4"/>
    <s v="Checking"/>
    <n v="182"/>
  </r>
  <r>
    <x v="6"/>
    <s v="Checking"/>
    <n v="188"/>
  </r>
  <r>
    <x v="0"/>
    <s v="Checking"/>
    <n v="191"/>
  </r>
  <r>
    <x v="4"/>
    <s v="Checking"/>
    <n v="192"/>
  </r>
  <r>
    <x v="4"/>
    <s v="Checking"/>
    <n v="192"/>
  </r>
  <r>
    <x v="4"/>
    <s v="Checking"/>
    <n v="192"/>
  </r>
  <r>
    <x v="4"/>
    <s v="Checking"/>
    <n v="193"/>
  </r>
  <r>
    <x v="2"/>
    <s v="Checking"/>
    <n v="199"/>
  </r>
  <r>
    <x v="0"/>
    <s v="Savings"/>
    <n v="202"/>
  </r>
  <r>
    <x v="5"/>
    <s v="Checking"/>
    <n v="212"/>
  </r>
  <r>
    <x v="3"/>
    <s v="Savings"/>
    <n v="217"/>
  </r>
  <r>
    <x v="3"/>
    <s v="Checking"/>
    <n v="228"/>
  </r>
  <r>
    <x v="4"/>
    <s v="Savings"/>
    <n v="230"/>
  </r>
  <r>
    <x v="2"/>
    <s v="Checking"/>
    <n v="242"/>
  </r>
  <r>
    <x v="5"/>
    <s v="Checking"/>
    <n v="244"/>
  </r>
  <r>
    <x v="1"/>
    <s v="Savings"/>
    <n v="256"/>
  </r>
  <r>
    <x v="1"/>
    <s v="Checking"/>
    <n v="262"/>
  </r>
  <r>
    <x v="2"/>
    <s v="Checking"/>
    <n v="263"/>
  </r>
  <r>
    <x v="1"/>
    <s v="Checking"/>
    <n v="269"/>
  </r>
  <r>
    <x v="4"/>
    <s v="Checking"/>
    <n v="270"/>
  </r>
  <r>
    <x v="3"/>
    <s v="Checking"/>
    <n v="289"/>
  </r>
  <r>
    <x v="4"/>
    <s v="Checking"/>
    <n v="307"/>
  </r>
  <r>
    <x v="2"/>
    <s v="Checking"/>
    <n v="307"/>
  </r>
  <r>
    <x v="5"/>
    <s v="Savings"/>
    <n v="308"/>
  </r>
  <r>
    <x v="2"/>
    <s v="Checking"/>
    <n v="318"/>
  </r>
  <r>
    <x v="4"/>
    <s v="Checking"/>
    <n v="319"/>
  </r>
  <r>
    <x v="2"/>
    <s v="Savings"/>
    <n v="332"/>
  </r>
  <r>
    <x v="6"/>
    <s v="Checking"/>
    <n v="341"/>
  </r>
  <r>
    <x v="4"/>
    <s v="Checking"/>
    <n v="374"/>
  </r>
  <r>
    <x v="0"/>
    <s v="Checking"/>
    <n v="377"/>
  </r>
  <r>
    <x v="6"/>
    <s v="Checking"/>
    <n v="384"/>
  </r>
  <r>
    <x v="4"/>
    <s v="Checking"/>
    <n v="419"/>
  </r>
  <r>
    <x v="4"/>
    <s v="Checking"/>
    <n v="423"/>
  </r>
  <r>
    <x v="5"/>
    <s v="Checking"/>
    <n v="430"/>
  </r>
  <r>
    <x v="4"/>
    <s v="Checking"/>
    <n v="443"/>
  </r>
  <r>
    <x v="4"/>
    <s v="Checking"/>
    <n v="446"/>
  </r>
  <r>
    <x v="4"/>
    <s v="Checking"/>
    <n v="452"/>
  </r>
  <r>
    <x v="3"/>
    <s v="Checking"/>
    <n v="461"/>
  </r>
  <r>
    <x v="4"/>
    <s v="Checking"/>
    <n v="463"/>
  </r>
  <r>
    <x v="6"/>
    <s v="Checking"/>
    <n v="471"/>
  </r>
  <r>
    <x v="5"/>
    <s v="Checking"/>
    <n v="476"/>
  </r>
  <r>
    <x v="4"/>
    <s v="Checking"/>
    <n v="486"/>
  </r>
  <r>
    <x v="5"/>
    <s v="Savings"/>
    <n v="504"/>
  </r>
  <r>
    <x v="0"/>
    <s v="Savings"/>
    <n v="506"/>
  </r>
  <r>
    <x v="1"/>
    <s v="Checking"/>
    <n v="509"/>
  </r>
  <r>
    <x v="4"/>
    <s v="Checking"/>
    <n v="510"/>
  </r>
  <r>
    <x v="2"/>
    <s v="Savings"/>
    <n v="523"/>
  </r>
  <r>
    <x v="6"/>
    <s v="Savings"/>
    <n v="531"/>
  </r>
  <r>
    <x v="5"/>
    <s v="Checking"/>
    <n v="539"/>
  </r>
  <r>
    <x v="5"/>
    <s v="Savings"/>
    <n v="542"/>
  </r>
  <r>
    <x v="5"/>
    <s v="Checking"/>
    <n v="542"/>
  </r>
  <r>
    <x v="4"/>
    <s v="Checking"/>
    <n v="544"/>
  </r>
  <r>
    <x v="4"/>
    <s v="Savings"/>
    <n v="545"/>
  </r>
  <r>
    <x v="2"/>
    <s v="Checking"/>
    <n v="554"/>
  </r>
  <r>
    <x v="4"/>
    <s v="Checking"/>
    <n v="564"/>
  </r>
  <r>
    <x v="0"/>
    <s v="Checking"/>
    <n v="565"/>
  </r>
  <r>
    <x v="7"/>
    <s v="Checking"/>
    <n v="569"/>
  </r>
  <r>
    <x v="3"/>
    <s v="Savings"/>
    <n v="573"/>
  </r>
  <r>
    <x v="5"/>
    <s v="Checking"/>
    <n v="575"/>
  </r>
  <r>
    <x v="2"/>
    <s v="Checking"/>
    <n v="576"/>
  </r>
  <r>
    <x v="3"/>
    <s v="Checking"/>
    <n v="577"/>
  </r>
  <r>
    <x v="5"/>
    <s v="Checking"/>
    <n v="580"/>
  </r>
  <r>
    <x v="5"/>
    <s v="Checking"/>
    <n v="582"/>
  </r>
  <r>
    <x v="4"/>
    <s v="Checking"/>
    <n v="584"/>
  </r>
  <r>
    <x v="5"/>
    <s v="Checking"/>
    <n v="590"/>
  </r>
  <r>
    <x v="7"/>
    <s v="Checking"/>
    <n v="594"/>
  </r>
  <r>
    <x v="4"/>
    <s v="Savings"/>
    <n v="597"/>
  </r>
  <r>
    <x v="6"/>
    <s v="Checking"/>
    <n v="598"/>
  </r>
  <r>
    <x v="2"/>
    <s v="Savings"/>
    <n v="602"/>
  </r>
  <r>
    <x v="4"/>
    <s v="Savings"/>
    <n v="619"/>
  </r>
  <r>
    <x v="1"/>
    <s v="Savings"/>
    <n v="649"/>
  </r>
  <r>
    <x v="3"/>
    <s v="Savings"/>
    <n v="660"/>
  </r>
  <r>
    <x v="7"/>
    <s v="Savings"/>
    <n v="666"/>
  </r>
  <r>
    <x v="1"/>
    <s v="Checking"/>
    <n v="1001"/>
  </r>
  <r>
    <x v="2"/>
    <s v="Checking"/>
    <n v="1001"/>
  </r>
  <r>
    <x v="2"/>
    <s v="Checking"/>
    <n v="1003"/>
  </r>
  <r>
    <x v="0"/>
    <s v="Checking"/>
    <n v="1037"/>
  </r>
  <r>
    <x v="5"/>
    <s v="Checking"/>
    <n v="1042"/>
  </r>
  <r>
    <x v="1"/>
    <s v="Checking"/>
    <n v="1060"/>
  </r>
  <r>
    <x v="4"/>
    <s v="Savings"/>
    <n v="1081"/>
  </r>
  <r>
    <x v="3"/>
    <s v="Checking"/>
    <n v="1082"/>
  </r>
  <r>
    <x v="5"/>
    <s v="Checking"/>
    <n v="1093"/>
  </r>
  <r>
    <x v="2"/>
    <s v="Checking"/>
    <n v="1100"/>
  </r>
  <r>
    <x v="5"/>
    <s v="Checking"/>
    <n v="1382"/>
  </r>
  <r>
    <x v="4"/>
    <s v="Checking"/>
    <n v="1385"/>
  </r>
  <r>
    <x v="3"/>
    <s v="CD"/>
    <n v="2002"/>
  </r>
  <r>
    <x v="2"/>
    <s v="Checking"/>
    <n v="2011"/>
  </r>
  <r>
    <x v="5"/>
    <s v="CD"/>
    <n v="2025"/>
  </r>
  <r>
    <x v="2"/>
    <s v="Checking"/>
    <n v="2031"/>
  </r>
  <r>
    <x v="2"/>
    <s v="IRA"/>
    <n v="2043"/>
  </r>
  <r>
    <x v="2"/>
    <s v="IRA"/>
    <n v="2048"/>
  </r>
  <r>
    <x v="4"/>
    <s v="IRA"/>
    <n v="2065"/>
  </r>
  <r>
    <x v="4"/>
    <s v="CD"/>
    <n v="2067"/>
  </r>
  <r>
    <x v="4"/>
    <s v="IRA"/>
    <n v="2076"/>
  </r>
  <r>
    <x v="1"/>
    <s v="IRA"/>
    <n v="2076"/>
  </r>
  <r>
    <x v="5"/>
    <s v="Checking"/>
    <n v="2094"/>
  </r>
  <r>
    <x v="5"/>
    <s v="IRA"/>
    <n v="2098"/>
  </r>
  <r>
    <x v="2"/>
    <s v="Checking"/>
    <n v="2776"/>
  </r>
  <r>
    <x v="3"/>
    <s v="Checking"/>
    <n v="2792"/>
  </r>
  <r>
    <x v="1"/>
    <s v="Checking"/>
    <n v="2799"/>
  </r>
  <r>
    <x v="2"/>
    <s v="Checking"/>
    <n v="2805"/>
  </r>
  <r>
    <x v="3"/>
    <s v="Checking"/>
    <n v="2825"/>
  </r>
  <r>
    <x v="2"/>
    <s v="Savings"/>
    <n v="2889"/>
  </r>
  <r>
    <x v="1"/>
    <s v="Savings"/>
    <n v="2898"/>
  </r>
  <r>
    <x v="4"/>
    <s v="Savings"/>
    <n v="2928"/>
  </r>
  <r>
    <x v="5"/>
    <s v="Savings"/>
    <n v="2951"/>
  </r>
  <r>
    <x v="3"/>
    <s v="Savings"/>
    <n v="2961"/>
  </r>
  <r>
    <x v="3"/>
    <s v="Checking"/>
    <n v="3019"/>
  </r>
  <r>
    <x v="4"/>
    <s v="Checking"/>
    <n v="3049"/>
  </r>
  <r>
    <x v="1"/>
    <s v="Checking"/>
    <n v="3051"/>
  </r>
  <r>
    <x v="1"/>
    <s v="Checking"/>
    <n v="3051"/>
  </r>
  <r>
    <x v="4"/>
    <s v="Checking"/>
    <n v="3062"/>
  </r>
  <r>
    <x v="2"/>
    <s v="Checking"/>
    <n v="3068"/>
  </r>
  <r>
    <x v="1"/>
    <s v="Checking"/>
    <n v="3069"/>
  </r>
  <r>
    <x v="3"/>
    <s v="Checking"/>
    <n v="3072"/>
  </r>
  <r>
    <x v="6"/>
    <s v="Checking"/>
    <n v="3079"/>
  </r>
  <r>
    <x v="5"/>
    <s v="Checking"/>
    <n v="3094"/>
  </r>
  <r>
    <x v="4"/>
    <s v="Checking"/>
    <n v="3097"/>
  </r>
  <r>
    <x v="3"/>
    <s v="Checking"/>
    <n v="3131"/>
  </r>
  <r>
    <x v="2"/>
    <s v="Checking"/>
    <n v="3144"/>
  </r>
  <r>
    <x v="1"/>
    <s v="Checking"/>
    <n v="3150"/>
  </r>
  <r>
    <x v="1"/>
    <s v="Checking"/>
    <n v="3198"/>
  </r>
  <r>
    <x v="2"/>
    <s v="Checking"/>
    <n v="3203"/>
  </r>
  <r>
    <x v="3"/>
    <s v="Checking"/>
    <n v="3222"/>
  </r>
  <r>
    <x v="3"/>
    <s v="Checking"/>
    <n v="3231"/>
  </r>
  <r>
    <x v="4"/>
    <s v="Checking"/>
    <n v="3264"/>
  </r>
  <r>
    <x v="3"/>
    <s v="Checking"/>
    <n v="3438"/>
  </r>
  <r>
    <x v="3"/>
    <s v="Checking"/>
    <n v="3473"/>
  </r>
  <r>
    <x v="4"/>
    <s v="Checking"/>
    <n v="3499"/>
  </r>
  <r>
    <x v="2"/>
    <s v="Checking"/>
    <n v="3516"/>
  </r>
  <r>
    <x v="4"/>
    <s v="CD"/>
    <n v="3601"/>
  </r>
  <r>
    <x v="1"/>
    <s v="Savings"/>
    <n v="3615"/>
  </r>
  <r>
    <x v="4"/>
    <s v="Savings"/>
    <n v="3628"/>
  </r>
  <r>
    <x v="0"/>
    <s v="Savings"/>
    <n v="3646"/>
  </r>
  <r>
    <x v="0"/>
    <s v="Checking"/>
    <n v="3716"/>
  </r>
  <r>
    <x v="2"/>
    <s v="Checking"/>
    <n v="3719"/>
  </r>
  <r>
    <x v="4"/>
    <s v="Checking"/>
    <n v="3767"/>
  </r>
  <r>
    <x v="4"/>
    <s v="Checking"/>
    <n v="3794"/>
  </r>
  <r>
    <x v="2"/>
    <s v="CD"/>
    <n v="3805"/>
  </r>
  <r>
    <x v="4"/>
    <s v="Checking"/>
    <n v="3818"/>
  </r>
  <r>
    <x v="4"/>
    <s v="Checking"/>
    <n v="3825"/>
  </r>
  <r>
    <x v="4"/>
    <s v="Checking"/>
    <n v="3879"/>
  </r>
  <r>
    <x v="3"/>
    <s v="Checking"/>
    <n v="3885"/>
  </r>
  <r>
    <x v="5"/>
    <s v="Checking"/>
    <n v="3906"/>
  </r>
  <r>
    <x v="3"/>
    <s v="Checking"/>
    <n v="3910"/>
  </r>
  <r>
    <x v="1"/>
    <s v="Savings"/>
    <n v="3913"/>
  </r>
  <r>
    <x v="3"/>
    <s v="Checking"/>
    <n v="3988"/>
  </r>
  <r>
    <x v="6"/>
    <s v="Checking"/>
    <n v="4002"/>
  </r>
  <r>
    <x v="3"/>
    <s v="Checking"/>
    <n v="4006"/>
  </r>
  <r>
    <x v="2"/>
    <s v="Checking"/>
    <n v="4009"/>
  </r>
  <r>
    <x v="6"/>
    <s v="Checking"/>
    <n v="4011"/>
  </r>
  <r>
    <x v="3"/>
    <s v="Savings"/>
    <n v="4013"/>
  </r>
  <r>
    <x v="0"/>
    <s v="Checking"/>
    <n v="4019"/>
  </r>
  <r>
    <x v="6"/>
    <s v="Checking"/>
    <n v="4025"/>
  </r>
  <r>
    <x v="1"/>
    <s v="Checking"/>
    <n v="4025"/>
  </r>
  <r>
    <x v="2"/>
    <s v="Checking"/>
    <n v="4026"/>
  </r>
  <r>
    <x v="0"/>
    <s v="Checking"/>
    <n v="4028"/>
  </r>
  <r>
    <x v="5"/>
    <s v="Checking"/>
    <n v="4031"/>
  </r>
  <r>
    <x v="0"/>
    <s v="Checking"/>
    <n v="4034"/>
  </r>
  <r>
    <x v="4"/>
    <s v="Savings"/>
    <n v="4036"/>
  </r>
  <r>
    <x v="4"/>
    <s v="Savings"/>
    <n v="4036"/>
  </r>
  <r>
    <x v="3"/>
    <s v="Checking"/>
    <n v="4042"/>
  </r>
  <r>
    <x v="5"/>
    <s v="Savings"/>
    <n v="4047"/>
  </r>
  <r>
    <x v="3"/>
    <s v="Checking"/>
    <n v="4049"/>
  </r>
  <r>
    <x v="5"/>
    <s v="CD"/>
    <n v="4049"/>
  </r>
  <r>
    <x v="4"/>
    <s v="Savings"/>
    <n v="4050"/>
  </r>
  <r>
    <x v="6"/>
    <s v="Checking"/>
    <n v="4056"/>
  </r>
  <r>
    <x v="5"/>
    <s v="Savings"/>
    <n v="4059"/>
  </r>
  <r>
    <x v="2"/>
    <s v="Savings"/>
    <n v="4061"/>
  </r>
  <r>
    <x v="4"/>
    <s v="Checking"/>
    <n v="4065"/>
  </r>
  <r>
    <x v="3"/>
    <s v="Checking"/>
    <n v="4067"/>
  </r>
  <r>
    <x v="2"/>
    <s v="Savings"/>
    <n v="4068"/>
  </r>
  <r>
    <x v="5"/>
    <s v="Checking"/>
    <n v="4073"/>
  </r>
  <r>
    <x v="4"/>
    <s v="Checking"/>
    <n v="4076"/>
  </r>
  <r>
    <x v="3"/>
    <s v="Checking"/>
    <n v="4077"/>
  </r>
  <r>
    <x v="4"/>
    <s v="Checking"/>
    <n v="4077"/>
  </r>
  <r>
    <x v="3"/>
    <s v="Checking"/>
    <n v="4082"/>
  </r>
  <r>
    <x v="4"/>
    <s v="Savings"/>
    <n v="4082"/>
  </r>
  <r>
    <x v="4"/>
    <s v="Checking"/>
    <n v="4086"/>
  </r>
  <r>
    <x v="4"/>
    <s v="Checking"/>
    <n v="4086"/>
  </r>
  <r>
    <x v="0"/>
    <s v="Checking"/>
    <n v="4087"/>
  </r>
  <r>
    <x v="1"/>
    <s v="Checking"/>
    <n v="4087"/>
  </r>
  <r>
    <x v="4"/>
    <s v="Checking"/>
    <n v="4090"/>
  </r>
  <r>
    <x v="4"/>
    <s v="Savings"/>
    <n v="4096"/>
  </r>
  <r>
    <x v="1"/>
    <s v="Checking"/>
    <n v="4096"/>
  </r>
  <r>
    <x v="3"/>
    <s v="Checking"/>
    <n v="4098"/>
  </r>
  <r>
    <x v="5"/>
    <s v="Savings"/>
    <n v="4117"/>
  </r>
  <r>
    <x v="4"/>
    <s v="CD"/>
    <n v="4246"/>
  </r>
  <r>
    <x v="0"/>
    <s v="CD"/>
    <n v="4274"/>
  </r>
  <r>
    <x v="1"/>
    <s v="Checking"/>
    <n v="4277"/>
  </r>
  <r>
    <x v="3"/>
    <s v="Savings"/>
    <n v="4291"/>
  </r>
  <r>
    <x v="4"/>
    <s v="Checking"/>
    <n v="4306"/>
  </r>
  <r>
    <x v="3"/>
    <s v="CD"/>
    <n v="4339"/>
  </r>
  <r>
    <x v="3"/>
    <s v="CD"/>
    <n v="4391"/>
  </r>
  <r>
    <x v="3"/>
    <s v="CD"/>
    <n v="4397"/>
  </r>
  <r>
    <x v="4"/>
    <s v="CD"/>
    <n v="4397"/>
  </r>
  <r>
    <x v="2"/>
    <s v="Savings"/>
    <n v="4404"/>
  </r>
  <r>
    <x v="5"/>
    <s v="Savings"/>
    <n v="4410"/>
  </r>
  <r>
    <x v="3"/>
    <s v="Savings"/>
    <n v="4436"/>
  </r>
  <r>
    <x v="4"/>
    <s v="Checking"/>
    <n v="4449"/>
  </r>
  <r>
    <x v="3"/>
    <s v="Checking"/>
    <n v="4546"/>
  </r>
  <r>
    <x v="2"/>
    <s v="Checking"/>
    <n v="4562"/>
  </r>
  <r>
    <x v="4"/>
    <s v="Checking"/>
    <n v="4567"/>
  </r>
  <r>
    <x v="3"/>
    <s v="Checking"/>
    <n v="4572"/>
  </r>
  <r>
    <x v="4"/>
    <s v="CD"/>
    <n v="4574"/>
  </r>
  <r>
    <x v="3"/>
    <s v="Checking"/>
    <n v="4579"/>
  </r>
  <r>
    <x v="3"/>
    <s v="Checking"/>
    <n v="4592"/>
  </r>
  <r>
    <x v="1"/>
    <s v="CD"/>
    <n v="4616"/>
  </r>
  <r>
    <x v="5"/>
    <s v="Checking"/>
    <n v="4622"/>
  </r>
  <r>
    <x v="4"/>
    <s v="Checking"/>
    <n v="4660"/>
  </r>
  <r>
    <x v="2"/>
    <s v="Checking"/>
    <n v="4679"/>
  </r>
  <r>
    <x v="4"/>
    <s v="Savings"/>
    <n v="4696"/>
  </r>
  <r>
    <x v="6"/>
    <s v="Savings"/>
    <n v="4697"/>
  </r>
  <r>
    <x v="1"/>
    <s v="Savings"/>
    <n v="4697"/>
  </r>
  <r>
    <x v="6"/>
    <s v="CD"/>
    <n v="4709"/>
  </r>
  <r>
    <x v="3"/>
    <s v="Checking"/>
    <n v="4735"/>
  </r>
  <r>
    <x v="4"/>
    <s v="Checking"/>
    <n v="4749"/>
  </r>
  <r>
    <x v="2"/>
    <s v="CD"/>
    <n v="4768"/>
  </r>
  <r>
    <x v="1"/>
    <s v="Checking"/>
    <n v="4815"/>
  </r>
  <r>
    <x v="4"/>
    <s v="Savings"/>
    <n v="4843"/>
  </r>
  <r>
    <x v="4"/>
    <s v="Checking"/>
    <n v="4852"/>
  </r>
  <r>
    <x v="5"/>
    <s v="Checking"/>
    <n v="4870"/>
  </r>
  <r>
    <x v="5"/>
    <s v="CD"/>
    <n v="4896"/>
  </r>
  <r>
    <x v="1"/>
    <s v="Savings"/>
    <n v="4943"/>
  </r>
  <r>
    <x v="5"/>
    <s v="Checking"/>
    <n v="5000"/>
  </r>
  <r>
    <x v="5"/>
    <s v="Savings"/>
    <n v="5004"/>
  </r>
  <r>
    <x v="1"/>
    <s v="Savings"/>
    <n v="5006"/>
  </r>
  <r>
    <x v="2"/>
    <s v="CD"/>
    <n v="5008"/>
  </r>
  <r>
    <x v="4"/>
    <s v="Savings"/>
    <n v="5021"/>
  </r>
  <r>
    <x v="4"/>
    <s v="Savings"/>
    <n v="5021"/>
  </r>
  <r>
    <x v="4"/>
    <s v="CD"/>
    <n v="5022"/>
  </r>
  <r>
    <x v="3"/>
    <s v="Checking"/>
    <n v="5031"/>
  </r>
  <r>
    <x v="1"/>
    <s v="Checking"/>
    <n v="5040"/>
  </r>
  <r>
    <x v="1"/>
    <s v="Savings"/>
    <n v="5050"/>
  </r>
  <r>
    <x v="3"/>
    <s v="Savings"/>
    <n v="5055"/>
  </r>
  <r>
    <x v="4"/>
    <s v="Checking"/>
    <n v="5064"/>
  </r>
  <r>
    <x v="3"/>
    <s v="CD"/>
    <n v="5068"/>
  </r>
  <r>
    <x v="1"/>
    <s v="Savings"/>
    <n v="5069"/>
  </r>
  <r>
    <x v="4"/>
    <s v="Savings"/>
    <n v="5072"/>
  </r>
  <r>
    <x v="5"/>
    <s v="Checking"/>
    <n v="5073"/>
  </r>
  <r>
    <x v="1"/>
    <s v="Savings"/>
    <n v="5080"/>
  </r>
  <r>
    <x v="1"/>
    <s v="CD"/>
    <n v="5082"/>
  </r>
  <r>
    <x v="5"/>
    <s v="Checking"/>
    <n v="5086"/>
  </r>
  <r>
    <x v="1"/>
    <s v="IRA"/>
    <n v="5087"/>
  </r>
  <r>
    <x v="4"/>
    <s v="Checking"/>
    <n v="5088"/>
  </r>
  <r>
    <x v="6"/>
    <s v="Savings"/>
    <n v="5090"/>
  </r>
  <r>
    <x v="4"/>
    <s v="CD"/>
    <n v="5099"/>
  </r>
  <r>
    <x v="3"/>
    <s v="CD"/>
    <n v="5121"/>
  </r>
  <r>
    <x v="4"/>
    <s v="Savings"/>
    <n v="5163"/>
  </r>
  <r>
    <x v="6"/>
    <s v="Checking"/>
    <n v="5181"/>
  </r>
  <r>
    <x v="2"/>
    <s v="Checking"/>
    <n v="5220"/>
  </r>
  <r>
    <x v="2"/>
    <s v="Savings"/>
    <n v="5242"/>
  </r>
  <r>
    <x v="3"/>
    <s v="Savings"/>
    <n v="5296"/>
  </r>
  <r>
    <x v="4"/>
    <s v="Checking"/>
    <n v="5308"/>
  </r>
  <r>
    <x v="1"/>
    <s v="Checking"/>
    <n v="5348"/>
  </r>
  <r>
    <x v="4"/>
    <s v="CD"/>
    <n v="5390"/>
  </r>
  <r>
    <x v="4"/>
    <s v="Savings"/>
    <n v="5409"/>
  </r>
  <r>
    <x v="4"/>
    <s v="Checking"/>
    <n v="5425"/>
  </r>
  <r>
    <x v="5"/>
    <s v="CD"/>
    <n v="5458"/>
  </r>
  <r>
    <x v="3"/>
    <s v="Savings"/>
    <n v="5461"/>
  </r>
  <r>
    <x v="4"/>
    <s v="Savings"/>
    <n v="5487"/>
  </r>
  <r>
    <x v="3"/>
    <s v="Checking"/>
    <n v="5532"/>
  </r>
  <r>
    <x v="4"/>
    <s v="Checking"/>
    <n v="5543"/>
  </r>
  <r>
    <x v="4"/>
    <s v="Savings"/>
    <n v="5585"/>
  </r>
  <r>
    <x v="1"/>
    <s v="Checking"/>
    <n v="5628"/>
  </r>
  <r>
    <x v="2"/>
    <s v="Savings"/>
    <n v="5630"/>
  </r>
  <r>
    <x v="1"/>
    <s v="CD"/>
    <n v="5657"/>
  </r>
  <r>
    <x v="4"/>
    <s v="Savings"/>
    <n v="5667"/>
  </r>
  <r>
    <x v="3"/>
    <s v="Savings"/>
    <n v="5682"/>
  </r>
  <r>
    <x v="4"/>
    <s v="Savings"/>
    <n v="5691"/>
  </r>
  <r>
    <x v="6"/>
    <s v="Savings"/>
    <n v="5752"/>
  </r>
  <r>
    <x v="4"/>
    <s v="Savings"/>
    <n v="5773"/>
  </r>
  <r>
    <x v="2"/>
    <s v="Savings"/>
    <n v="5814"/>
  </r>
  <r>
    <x v="2"/>
    <s v="Savings"/>
    <n v="5815"/>
  </r>
  <r>
    <x v="4"/>
    <s v="CD"/>
    <n v="5830"/>
  </r>
  <r>
    <x v="3"/>
    <s v="Checking"/>
    <n v="5888"/>
  </r>
  <r>
    <x v="3"/>
    <s v="Checking"/>
    <n v="5918"/>
  </r>
  <r>
    <x v="2"/>
    <s v="Checking"/>
    <n v="5933"/>
  </r>
  <r>
    <x v="5"/>
    <s v="Checking"/>
    <n v="5953"/>
  </r>
  <r>
    <x v="3"/>
    <s v="Savings"/>
    <n v="5959"/>
  </r>
  <r>
    <x v="3"/>
    <s v="Checking"/>
    <n v="5978"/>
  </r>
  <r>
    <x v="4"/>
    <s v="Savings"/>
    <n v="6002"/>
  </r>
  <r>
    <x v="4"/>
    <s v="Checking"/>
    <n v="6003"/>
  </r>
  <r>
    <x v="2"/>
    <s v="Savings"/>
    <n v="6009"/>
  </r>
  <r>
    <x v="2"/>
    <s v="CD"/>
    <n v="6018"/>
  </r>
  <r>
    <x v="5"/>
    <s v="Checking"/>
    <n v="6019"/>
  </r>
  <r>
    <x v="4"/>
    <s v="Savings"/>
    <n v="6022"/>
  </r>
  <r>
    <x v="5"/>
    <s v="Savings"/>
    <n v="6022"/>
  </r>
  <r>
    <x v="1"/>
    <s v="Savings"/>
    <n v="6024"/>
  </r>
  <r>
    <x v="4"/>
    <s v="Savings"/>
    <n v="6027"/>
  </r>
  <r>
    <x v="1"/>
    <s v="Savings"/>
    <n v="6037"/>
  </r>
  <r>
    <x v="4"/>
    <s v="Checking"/>
    <n v="6041"/>
  </r>
  <r>
    <x v="2"/>
    <s v="Checking"/>
    <n v="6041"/>
  </r>
  <r>
    <x v="4"/>
    <s v="Checking"/>
    <n v="6042"/>
  </r>
  <r>
    <x v="4"/>
    <s v="Checking"/>
    <n v="6062"/>
  </r>
  <r>
    <x v="3"/>
    <s v="Savings"/>
    <n v="6064"/>
  </r>
  <r>
    <x v="3"/>
    <s v="Savings"/>
    <n v="6088"/>
  </r>
  <r>
    <x v="2"/>
    <s v="Savings"/>
    <n v="6107"/>
  </r>
  <r>
    <x v="4"/>
    <s v="CD"/>
    <n v="6207"/>
  </r>
  <r>
    <x v="6"/>
    <s v="Savings"/>
    <n v="6240"/>
  </r>
  <r>
    <x v="5"/>
    <s v="CD"/>
    <n v="6247"/>
  </r>
  <r>
    <x v="4"/>
    <s v="Savings"/>
    <n v="6343"/>
  </r>
  <r>
    <x v="5"/>
    <s v="Checking"/>
    <n v="6359"/>
  </r>
  <r>
    <x v="5"/>
    <s v="Savings"/>
    <n v="6398"/>
  </r>
  <r>
    <x v="2"/>
    <s v="CD"/>
    <n v="6399"/>
  </r>
  <r>
    <x v="2"/>
    <s v="Checking"/>
    <n v="6460"/>
  </r>
  <r>
    <x v="0"/>
    <s v="Savings"/>
    <n v="6465"/>
  </r>
  <r>
    <x v="2"/>
    <s v="CD"/>
    <n v="6570"/>
  </r>
  <r>
    <x v="1"/>
    <s v="Checking"/>
    <n v="6598"/>
  </r>
  <r>
    <x v="2"/>
    <s v="Checking"/>
    <n v="6610"/>
  </r>
  <r>
    <x v="0"/>
    <s v="CD"/>
    <n v="6626"/>
  </r>
  <r>
    <x v="3"/>
    <s v="Checking"/>
    <n v="6632"/>
  </r>
  <r>
    <x v="5"/>
    <s v="Savings"/>
    <n v="6687"/>
  </r>
  <r>
    <x v="3"/>
    <s v="Savings"/>
    <n v="6706"/>
  </r>
  <r>
    <x v="2"/>
    <s v="CD"/>
    <n v="6745"/>
  </r>
  <r>
    <x v="5"/>
    <s v="Savings"/>
    <n v="6750"/>
  </r>
  <r>
    <x v="4"/>
    <s v="Savings"/>
    <n v="6766"/>
  </r>
  <r>
    <x v="5"/>
    <s v="Savings"/>
    <n v="6811"/>
  </r>
  <r>
    <x v="2"/>
    <s v="Savings"/>
    <n v="6813"/>
  </r>
  <r>
    <x v="1"/>
    <s v="Savings"/>
    <n v="6816"/>
  </r>
  <r>
    <x v="4"/>
    <s v="Savings"/>
    <n v="6835"/>
  </r>
  <r>
    <x v="2"/>
    <s v="CD"/>
    <n v="6841"/>
  </r>
  <r>
    <x v="2"/>
    <s v="CD"/>
    <n v="6879"/>
  </r>
  <r>
    <x v="0"/>
    <s v="Savings"/>
    <n v="6901"/>
  </r>
  <r>
    <x v="3"/>
    <s v="Savings"/>
    <n v="7032"/>
  </r>
  <r>
    <x v="4"/>
    <s v="Savings"/>
    <n v="7056"/>
  </r>
  <r>
    <x v="1"/>
    <s v="Savings"/>
    <n v="7056"/>
  </r>
  <r>
    <x v="2"/>
    <s v="IRA"/>
    <n v="7061"/>
  </r>
  <r>
    <x v="5"/>
    <s v="CD"/>
    <n v="7067"/>
  </r>
  <r>
    <x v="2"/>
    <s v="IRA"/>
    <n v="7072"/>
  </r>
  <r>
    <x v="3"/>
    <s v="IRA"/>
    <n v="7075"/>
  </r>
  <r>
    <x v="2"/>
    <s v="IRA"/>
    <n v="7081"/>
  </r>
  <r>
    <x v="3"/>
    <s v="Savings"/>
    <n v="7094"/>
  </r>
  <r>
    <x v="4"/>
    <s v="Savings"/>
    <n v="7134"/>
  </r>
  <r>
    <x v="2"/>
    <s v="Savings"/>
    <n v="7184"/>
  </r>
  <r>
    <x v="5"/>
    <s v="Checking"/>
    <n v="7214"/>
  </r>
  <r>
    <x v="3"/>
    <s v="CD"/>
    <n v="7229"/>
  </r>
  <r>
    <x v="0"/>
    <s v="Checking"/>
    <n v="7238"/>
  </r>
  <r>
    <x v="1"/>
    <s v="Checking"/>
    <n v="7238"/>
  </r>
  <r>
    <x v="5"/>
    <s v="Savings"/>
    <n v="7249"/>
  </r>
  <r>
    <x v="4"/>
    <s v="Savings"/>
    <n v="7279"/>
  </r>
  <r>
    <x v="1"/>
    <s v="IRA"/>
    <n v="7279"/>
  </r>
  <r>
    <x v="1"/>
    <s v="Checking"/>
    <n v="7299"/>
  </r>
  <r>
    <x v="1"/>
    <s v="Savings"/>
    <n v="7320"/>
  </r>
  <r>
    <x v="5"/>
    <s v="IRA"/>
    <n v="7326"/>
  </r>
  <r>
    <x v="2"/>
    <s v="Checking"/>
    <n v="7328"/>
  </r>
  <r>
    <x v="3"/>
    <s v="Savings"/>
    <n v="7338"/>
  </r>
  <r>
    <x v="4"/>
    <s v="Checking"/>
    <n v="7346"/>
  </r>
  <r>
    <x v="2"/>
    <s v="Checking"/>
    <n v="7373"/>
  </r>
  <r>
    <x v="3"/>
    <s v="Checking"/>
    <n v="7386"/>
  </r>
  <r>
    <x v="5"/>
    <s v="Savings"/>
    <n v="7415"/>
  </r>
  <r>
    <x v="3"/>
    <s v="Checking"/>
    <n v="7430"/>
  </r>
  <r>
    <x v="1"/>
    <s v="Checking"/>
    <n v="7486"/>
  </r>
  <r>
    <x v="1"/>
    <s v="Checking"/>
    <n v="7511"/>
  </r>
  <r>
    <x v="4"/>
    <s v="Checking"/>
    <n v="7634"/>
  </r>
  <r>
    <x v="1"/>
    <s v="Savings"/>
    <n v="7662"/>
  </r>
  <r>
    <x v="3"/>
    <s v="CD"/>
    <n v="7698"/>
  </r>
  <r>
    <x v="1"/>
    <s v="Checking"/>
    <n v="7798"/>
  </r>
  <r>
    <x v="5"/>
    <s v="CD"/>
    <n v="7821"/>
  </r>
  <r>
    <x v="5"/>
    <s v="CD"/>
    <n v="7852"/>
  </r>
  <r>
    <x v="5"/>
    <s v="CD"/>
    <n v="7867"/>
  </r>
  <r>
    <x v="4"/>
    <s v="Savings"/>
    <n v="7875"/>
  </r>
  <r>
    <x v="5"/>
    <s v="Checking"/>
    <n v="7884"/>
  </r>
  <r>
    <x v="1"/>
    <s v="Savings"/>
    <n v="7901"/>
  </r>
  <r>
    <x v="1"/>
    <s v="Savings"/>
    <n v="7903"/>
  </r>
  <r>
    <x v="4"/>
    <s v="Savings"/>
    <n v="7905"/>
  </r>
  <r>
    <x v="5"/>
    <s v="CD"/>
    <n v="7912"/>
  </r>
  <r>
    <x v="5"/>
    <s v="Savings"/>
    <n v="7958"/>
  </r>
  <r>
    <x v="6"/>
    <s v="Savings"/>
    <n v="7997"/>
  </r>
  <r>
    <x v="3"/>
    <s v="Savings"/>
    <n v="8007"/>
  </r>
  <r>
    <x v="4"/>
    <s v="Savings"/>
    <n v="8010"/>
  </r>
  <r>
    <x v="4"/>
    <s v="Savings"/>
    <n v="8029"/>
  </r>
  <r>
    <x v="3"/>
    <s v="Savings"/>
    <n v="8034"/>
  </r>
  <r>
    <x v="4"/>
    <s v="Savings"/>
    <n v="8044"/>
  </r>
  <r>
    <x v="6"/>
    <s v="Savings"/>
    <n v="8058"/>
  </r>
  <r>
    <x v="5"/>
    <s v="CD"/>
    <n v="8153"/>
  </r>
  <r>
    <x v="2"/>
    <s v="Checking"/>
    <n v="8165"/>
  </r>
  <r>
    <x v="3"/>
    <s v="CD"/>
    <n v="8261"/>
  </r>
  <r>
    <x v="4"/>
    <s v="Savings"/>
    <n v="8265"/>
  </r>
  <r>
    <x v="4"/>
    <s v="CD"/>
    <n v="8364"/>
  </r>
  <r>
    <x v="3"/>
    <s v="Checking"/>
    <n v="8376"/>
  </r>
  <r>
    <x v="5"/>
    <s v="CD"/>
    <n v="8380"/>
  </r>
  <r>
    <x v="4"/>
    <s v="Savings"/>
    <n v="8443"/>
  </r>
  <r>
    <x v="4"/>
    <s v="Savings"/>
    <n v="8502"/>
  </r>
  <r>
    <x v="4"/>
    <s v="CD"/>
    <n v="8530"/>
  </r>
  <r>
    <x v="1"/>
    <s v="CD"/>
    <n v="8533"/>
  </r>
  <r>
    <x v="4"/>
    <s v="CD"/>
    <n v="8535"/>
  </r>
  <r>
    <x v="3"/>
    <s v="CD"/>
    <n v="8550"/>
  </r>
  <r>
    <x v="5"/>
    <s v="Savings"/>
    <n v="8588"/>
  </r>
  <r>
    <x v="3"/>
    <s v="Checking"/>
    <n v="8599"/>
  </r>
  <r>
    <x v="3"/>
    <s v="CD"/>
    <n v="8641"/>
  </r>
  <r>
    <x v="2"/>
    <s v="Savings"/>
    <n v="8653"/>
  </r>
  <r>
    <x v="4"/>
    <s v="Savings"/>
    <n v="8809"/>
  </r>
  <r>
    <x v="3"/>
    <s v="CD"/>
    <n v="8834"/>
  </r>
  <r>
    <x v="4"/>
    <s v="Savings"/>
    <n v="8841"/>
  </r>
  <r>
    <x v="2"/>
    <s v="Checking"/>
    <n v="8937"/>
  </r>
  <r>
    <x v="2"/>
    <s v="CD"/>
    <n v="8967"/>
  </r>
  <r>
    <x v="4"/>
    <s v="Checking"/>
    <n v="8969"/>
  </r>
  <r>
    <x v="3"/>
    <s v="Checking"/>
    <n v="8979"/>
  </r>
  <r>
    <x v="3"/>
    <s v="Savings"/>
    <n v="8997"/>
  </r>
  <r>
    <x v="4"/>
    <s v="Savings"/>
    <n v="9013"/>
  </r>
  <r>
    <x v="6"/>
    <s v="IRA"/>
    <n v="9019"/>
  </r>
  <r>
    <x v="2"/>
    <s v="Checking"/>
    <n v="9036"/>
  </r>
  <r>
    <x v="2"/>
    <s v="CD"/>
    <n v="9059"/>
  </r>
  <r>
    <x v="4"/>
    <s v="IRA"/>
    <n v="9080"/>
  </r>
  <r>
    <x v="4"/>
    <s v="CD"/>
    <n v="9093"/>
  </r>
  <r>
    <x v="1"/>
    <s v="IRA"/>
    <n v="9093"/>
  </r>
  <r>
    <x v="6"/>
    <s v="Checking"/>
    <n v="9095"/>
  </r>
  <r>
    <x v="4"/>
    <s v="IRA"/>
    <n v="9099"/>
  </r>
  <r>
    <x v="1"/>
    <s v="IRA"/>
    <n v="9125"/>
  </r>
  <r>
    <x v="4"/>
    <s v="IRA"/>
    <n v="9170"/>
  </r>
  <r>
    <x v="5"/>
    <s v="Checking"/>
    <n v="9182"/>
  </r>
  <r>
    <x v="1"/>
    <s v="IRA"/>
    <n v="9186"/>
  </r>
  <r>
    <x v="1"/>
    <s v="Savings"/>
    <n v="9187"/>
  </r>
  <r>
    <x v="2"/>
    <s v="CD"/>
    <n v="9204"/>
  </r>
  <r>
    <x v="3"/>
    <s v="CD"/>
    <n v="9205"/>
  </r>
  <r>
    <x v="2"/>
    <s v="Checking"/>
    <n v="9216"/>
  </r>
  <r>
    <x v="4"/>
    <s v="Savings"/>
    <n v="9293"/>
  </r>
  <r>
    <x v="1"/>
    <s v="CD"/>
    <n v="9300"/>
  </r>
  <r>
    <x v="4"/>
    <s v="CD"/>
    <n v="9303"/>
  </r>
  <r>
    <x v="2"/>
    <s v="CD"/>
    <n v="9424"/>
  </r>
  <r>
    <x v="5"/>
    <s v="Checking"/>
    <n v="9459"/>
  </r>
  <r>
    <x v="1"/>
    <s v="CD"/>
    <n v="9471"/>
  </r>
  <r>
    <x v="3"/>
    <s v="Savings"/>
    <n v="9592"/>
  </r>
  <r>
    <x v="2"/>
    <s v="Checking"/>
    <n v="9612"/>
  </r>
  <r>
    <x v="3"/>
    <s v="Checking"/>
    <n v="9671"/>
  </r>
  <r>
    <x v="2"/>
    <s v="Checking"/>
    <n v="9694"/>
  </r>
  <r>
    <x v="4"/>
    <s v="Checking"/>
    <n v="9715"/>
  </r>
  <r>
    <x v="2"/>
    <s v="CD"/>
    <n v="9729"/>
  </r>
  <r>
    <x v="4"/>
    <s v="Checking"/>
    <n v="9794"/>
  </r>
  <r>
    <x v="4"/>
    <s v="Checking"/>
    <n v="9865"/>
  </r>
  <r>
    <x v="3"/>
    <s v="Checking"/>
    <n v="9940"/>
  </r>
  <r>
    <x v="5"/>
    <s v="CD"/>
    <n v="9974"/>
  </r>
  <r>
    <x v="4"/>
    <s v="Savings"/>
    <n v="9975"/>
  </r>
  <r>
    <x v="3"/>
    <s v="CD"/>
    <n v="10032"/>
  </r>
  <r>
    <x v="4"/>
    <s v="IRA"/>
    <n v="10053"/>
  </r>
  <r>
    <x v="4"/>
    <s v="CD"/>
    <n v="10056"/>
  </r>
  <r>
    <x v="4"/>
    <s v="IRA"/>
    <n v="10068"/>
  </r>
  <r>
    <x v="2"/>
    <s v="IRA"/>
    <n v="10084"/>
  </r>
  <r>
    <x v="4"/>
    <s v="IRA"/>
    <n v="10090"/>
  </r>
  <r>
    <x v="4"/>
    <s v="CD"/>
    <n v="10098"/>
  </r>
  <r>
    <x v="4"/>
    <s v="Checking"/>
    <n v="10119"/>
  </r>
  <r>
    <x v="5"/>
    <s v="Savings"/>
    <n v="10123"/>
  </r>
  <r>
    <x v="5"/>
    <s v="Savings"/>
    <n v="10140"/>
  </r>
  <r>
    <x v="3"/>
    <s v="Checking"/>
    <n v="10159"/>
  </r>
  <r>
    <x v="3"/>
    <s v="Checking"/>
    <n v="10160"/>
  </r>
  <r>
    <x v="5"/>
    <s v="Savings"/>
    <n v="10175"/>
  </r>
  <r>
    <x v="4"/>
    <s v="Savings"/>
    <n v="10179"/>
  </r>
  <r>
    <x v="2"/>
    <s v="CD"/>
    <n v="10201"/>
  </r>
  <r>
    <x v="4"/>
    <s v="Savings"/>
    <n v="10202"/>
  </r>
  <r>
    <x v="5"/>
    <s v="CD"/>
    <n v="10216"/>
  </r>
  <r>
    <x v="6"/>
    <s v="Checking"/>
    <n v="10225"/>
  </r>
  <r>
    <x v="5"/>
    <s v="CD"/>
    <n v="10225"/>
  </r>
  <r>
    <x v="3"/>
    <s v="Savings"/>
    <n v="10233"/>
  </r>
  <r>
    <x v="5"/>
    <s v="Savings"/>
    <n v="10238"/>
  </r>
  <r>
    <x v="4"/>
    <s v="Checking"/>
    <n v="10261"/>
  </r>
  <r>
    <x v="4"/>
    <s v="Checking"/>
    <n v="10354"/>
  </r>
  <r>
    <x v="5"/>
    <s v="Savings"/>
    <n v="10356"/>
  </r>
  <r>
    <x v="3"/>
    <s v="CD"/>
    <n v="10360"/>
  </r>
  <r>
    <x v="4"/>
    <s v="Checking"/>
    <n v="10362"/>
  </r>
  <r>
    <x v="4"/>
    <s v="Checking"/>
    <n v="10367"/>
  </r>
  <r>
    <x v="5"/>
    <s v="Checking"/>
    <n v="10375"/>
  </r>
  <r>
    <x v="2"/>
    <s v="CD"/>
    <n v="10417"/>
  </r>
  <r>
    <x v="6"/>
    <s v="Checking"/>
    <n v="10431"/>
  </r>
  <r>
    <x v="4"/>
    <s v="CD"/>
    <n v="10436"/>
  </r>
  <r>
    <x v="1"/>
    <s v="Savings"/>
    <n v="10454"/>
  </r>
  <r>
    <x v="3"/>
    <s v="CD"/>
    <n v="10522"/>
  </r>
  <r>
    <x v="4"/>
    <s v="CD"/>
    <n v="10526"/>
  </r>
  <r>
    <x v="2"/>
    <s v="Savings"/>
    <n v="10527"/>
  </r>
  <r>
    <x v="5"/>
    <s v="Checking"/>
    <n v="10555"/>
  </r>
  <r>
    <x v="4"/>
    <s v="Checking"/>
    <n v="10599"/>
  </r>
  <r>
    <x v="5"/>
    <s v="Savings"/>
    <n v="10633"/>
  </r>
  <r>
    <x v="5"/>
    <s v="Savings"/>
    <n v="10687"/>
  </r>
  <r>
    <x v="3"/>
    <s v="CD"/>
    <n v="10826"/>
  </r>
  <r>
    <x v="6"/>
    <s v="CD"/>
    <n v="10851"/>
  </r>
  <r>
    <x v="5"/>
    <s v="CD"/>
    <n v="10858"/>
  </r>
  <r>
    <x v="4"/>
    <s v="Savings"/>
    <n v="10904"/>
  </r>
  <r>
    <x v="3"/>
    <s v="Checking"/>
    <n v="10980"/>
  </r>
  <r>
    <x v="3"/>
    <s v="CD"/>
    <n v="11007"/>
  </r>
  <r>
    <x v="1"/>
    <s v="CD"/>
    <n v="11017"/>
  </r>
  <r>
    <x v="3"/>
    <s v="CD"/>
    <n v="11023"/>
  </r>
  <r>
    <x v="5"/>
    <s v="CD"/>
    <n v="11206"/>
  </r>
  <r>
    <x v="0"/>
    <s v="CD"/>
    <n v="11220"/>
  </r>
  <r>
    <x v="1"/>
    <s v="Savings"/>
    <n v="11229"/>
  </r>
  <r>
    <x v="5"/>
    <s v="Checking"/>
    <n v="11234"/>
  </r>
  <r>
    <x v="2"/>
    <s v="Savings"/>
    <n v="11254"/>
  </r>
  <r>
    <x v="1"/>
    <s v="Savings"/>
    <n v="11426"/>
  </r>
  <r>
    <x v="1"/>
    <s v="Checking"/>
    <n v="11447"/>
  </r>
  <r>
    <x v="4"/>
    <s v="Checking"/>
    <n v="11465"/>
  </r>
  <r>
    <x v="0"/>
    <s v="CD"/>
    <n v="11561"/>
  </r>
  <r>
    <x v="1"/>
    <s v="Checking"/>
    <n v="11585"/>
  </r>
  <r>
    <x v="4"/>
    <s v="CD"/>
    <n v="11595"/>
  </r>
  <r>
    <x v="3"/>
    <s v="CD"/>
    <n v="11610"/>
  </r>
  <r>
    <x v="6"/>
    <s v="CD"/>
    <n v="11685"/>
  </r>
  <r>
    <x v="2"/>
    <s v="Checking"/>
    <n v="11716"/>
  </r>
  <r>
    <x v="0"/>
    <s v="Savings"/>
    <n v="11739"/>
  </r>
  <r>
    <x v="1"/>
    <s v="Checking"/>
    <n v="11759"/>
  </r>
  <r>
    <x v="4"/>
    <s v="CD"/>
    <n v="11806"/>
  </r>
  <r>
    <x v="1"/>
    <s v="Savings"/>
    <n v="11808"/>
  </r>
  <r>
    <x v="5"/>
    <s v="Savings"/>
    <n v="11817"/>
  </r>
  <r>
    <x v="1"/>
    <s v="Checking"/>
    <n v="11833"/>
  </r>
  <r>
    <x v="4"/>
    <s v="Savings"/>
    <n v="11838"/>
  </r>
  <r>
    <x v="4"/>
    <s v="CD"/>
    <n v="11875"/>
  </r>
  <r>
    <x v="1"/>
    <s v="CD"/>
    <n v="11891"/>
  </r>
  <r>
    <x v="2"/>
    <s v="CD"/>
    <n v="11965"/>
  </r>
  <r>
    <x v="2"/>
    <s v="CD"/>
    <n v="11966"/>
  </r>
  <r>
    <x v="4"/>
    <s v="Savings"/>
    <n v="11977"/>
  </r>
  <r>
    <x v="2"/>
    <s v="CD"/>
    <n v="11997"/>
  </r>
  <r>
    <x v="1"/>
    <s v="CD"/>
    <n v="12008"/>
  </r>
  <r>
    <x v="4"/>
    <s v="CD"/>
    <n v="12017"/>
  </r>
  <r>
    <x v="5"/>
    <s v="CD"/>
    <n v="12017"/>
  </r>
  <r>
    <x v="5"/>
    <s v="CD"/>
    <n v="12018"/>
  </r>
  <r>
    <x v="3"/>
    <s v="Savings"/>
    <n v="12020"/>
  </r>
  <r>
    <x v="4"/>
    <s v="Checking"/>
    <n v="12028"/>
  </r>
  <r>
    <x v="4"/>
    <s v="CD"/>
    <n v="12039"/>
  </r>
  <r>
    <x v="4"/>
    <s v="Checking"/>
    <n v="12045"/>
  </r>
  <r>
    <x v="5"/>
    <s v="CD"/>
    <n v="12047"/>
  </r>
  <r>
    <x v="1"/>
    <s v="CD"/>
    <n v="12057"/>
  </r>
  <r>
    <x v="5"/>
    <s v="CD"/>
    <n v="12064"/>
  </r>
  <r>
    <x v="5"/>
    <s v="CD"/>
    <n v="12073"/>
  </r>
  <r>
    <x v="2"/>
    <s v="Checking"/>
    <n v="12081"/>
  </r>
  <r>
    <x v="7"/>
    <s v="Savings"/>
    <n v="12091"/>
  </r>
  <r>
    <x v="3"/>
    <s v="Checking"/>
    <n v="12094"/>
  </r>
  <r>
    <x v="4"/>
    <s v="CD"/>
    <n v="12095"/>
  </r>
  <r>
    <x v="4"/>
    <s v="CD"/>
    <n v="12098"/>
  </r>
  <r>
    <x v="2"/>
    <s v="CD"/>
    <n v="12185"/>
  </r>
  <r>
    <x v="3"/>
    <s v="CD"/>
    <n v="12195"/>
  </r>
  <r>
    <x v="5"/>
    <s v="Checking"/>
    <n v="12204"/>
  </r>
  <r>
    <x v="4"/>
    <s v="Checking"/>
    <n v="12215"/>
  </r>
  <r>
    <x v="2"/>
    <s v="Savings"/>
    <n v="12257"/>
  </r>
  <r>
    <x v="4"/>
    <s v="CD"/>
    <n v="12266"/>
  </r>
  <r>
    <x v="1"/>
    <s v="CD"/>
    <n v="12306"/>
  </r>
  <r>
    <x v="3"/>
    <s v="Savings"/>
    <n v="12318"/>
  </r>
  <r>
    <x v="2"/>
    <s v="CD"/>
    <n v="12352"/>
  </r>
  <r>
    <x v="4"/>
    <s v="Savings"/>
    <n v="12411"/>
  </r>
  <r>
    <x v="2"/>
    <s v="IRA"/>
    <n v="12474"/>
  </r>
  <r>
    <x v="4"/>
    <s v="Checking"/>
    <n v="12483"/>
  </r>
  <r>
    <x v="1"/>
    <s v="Checking"/>
    <n v="12498"/>
  </r>
  <r>
    <x v="2"/>
    <s v="IRA"/>
    <n v="12501"/>
  </r>
  <r>
    <x v="4"/>
    <s v="CD"/>
    <n v="12507"/>
  </r>
  <r>
    <x v="5"/>
    <s v="CD"/>
    <n v="12507"/>
  </r>
  <r>
    <x v="2"/>
    <s v="Checking"/>
    <n v="12511"/>
  </r>
  <r>
    <x v="4"/>
    <s v="CD"/>
    <n v="12535"/>
  </r>
  <r>
    <x v="5"/>
    <s v="IRA"/>
    <n v="12541"/>
  </r>
  <r>
    <x v="4"/>
    <s v="CD"/>
    <n v="12545"/>
  </r>
  <r>
    <x v="5"/>
    <s v="CD"/>
    <n v="12551"/>
  </r>
  <r>
    <x v="2"/>
    <s v="IRA"/>
    <n v="12553"/>
  </r>
  <r>
    <x v="5"/>
    <s v="CD"/>
    <n v="12556"/>
  </r>
  <r>
    <x v="4"/>
    <s v="CD"/>
    <n v="12572"/>
  </r>
  <r>
    <x v="4"/>
    <s v="Checking"/>
    <n v="12582"/>
  </r>
  <r>
    <x v="1"/>
    <s v="CD"/>
    <n v="12587"/>
  </r>
  <r>
    <x v="4"/>
    <s v="CD"/>
    <n v="12598"/>
  </r>
  <r>
    <x v="1"/>
    <s v="CD"/>
    <n v="12610"/>
  </r>
  <r>
    <x v="5"/>
    <s v="Savings"/>
    <n v="12615"/>
  </r>
  <r>
    <x v="3"/>
    <s v="Checking"/>
    <n v="12677"/>
  </r>
  <r>
    <x v="5"/>
    <s v="Savings"/>
    <n v="12689"/>
  </r>
  <r>
    <x v="3"/>
    <s v="Checking"/>
    <n v="12723"/>
  </r>
  <r>
    <x v="5"/>
    <s v="Checking"/>
    <n v="12732"/>
  </r>
  <r>
    <x v="3"/>
    <s v="Checking"/>
    <n v="12754"/>
  </r>
  <r>
    <x v="3"/>
    <s v="Checking"/>
    <n v="12761"/>
  </r>
  <r>
    <x v="4"/>
    <s v="Checking"/>
    <n v="12767"/>
  </r>
  <r>
    <x v="3"/>
    <s v="CD"/>
    <n v="12800"/>
  </r>
  <r>
    <x v="5"/>
    <s v="Checking"/>
    <n v="12825"/>
  </r>
  <r>
    <x v="2"/>
    <s v="CD"/>
    <n v="12834"/>
  </r>
  <r>
    <x v="4"/>
    <s v="Checking"/>
    <n v="12843"/>
  </r>
  <r>
    <x v="4"/>
    <s v="Checking"/>
    <n v="12886"/>
  </r>
  <r>
    <x v="5"/>
    <s v="Checking"/>
    <n v="12921"/>
  </r>
  <r>
    <x v="2"/>
    <s v="Savings"/>
    <n v="12932"/>
  </r>
  <r>
    <x v="4"/>
    <s v="CD"/>
    <n v="12944"/>
  </r>
  <r>
    <x v="3"/>
    <s v="Checking"/>
    <n v="12965"/>
  </r>
  <r>
    <x v="1"/>
    <s v="CD"/>
    <n v="13001"/>
  </r>
  <r>
    <x v="1"/>
    <s v="CD"/>
    <n v="13012"/>
  </r>
  <r>
    <x v="3"/>
    <s v="Savings"/>
    <n v="13023"/>
  </r>
  <r>
    <x v="6"/>
    <s v="CD"/>
    <n v="13023"/>
  </r>
  <r>
    <x v="5"/>
    <s v="Checking"/>
    <n v="13031"/>
  </r>
  <r>
    <x v="0"/>
    <s v="CD"/>
    <n v="13038"/>
  </r>
  <r>
    <x v="4"/>
    <s v="Savings"/>
    <n v="13044"/>
  </r>
  <r>
    <x v="1"/>
    <s v="CD"/>
    <n v="13044"/>
  </r>
  <r>
    <x v="5"/>
    <s v="CD"/>
    <n v="13058"/>
  </r>
  <r>
    <x v="2"/>
    <s v="CD"/>
    <n v="13067"/>
  </r>
  <r>
    <x v="4"/>
    <s v="CD"/>
    <n v="13068"/>
  </r>
  <r>
    <x v="4"/>
    <s v="CD"/>
    <n v="13069"/>
  </r>
  <r>
    <x v="2"/>
    <s v="CD"/>
    <n v="13070"/>
  </r>
  <r>
    <x v="2"/>
    <s v="Checking"/>
    <n v="13093"/>
  </r>
  <r>
    <x v="5"/>
    <s v="CD"/>
    <n v="13094"/>
  </r>
  <r>
    <x v="4"/>
    <s v="CD"/>
    <n v="13140"/>
  </r>
  <r>
    <x v="5"/>
    <s v="CD"/>
    <n v="13151"/>
  </r>
  <r>
    <x v="3"/>
    <s v="Savings"/>
    <n v="13181"/>
  </r>
  <r>
    <x v="6"/>
    <s v="CD"/>
    <n v="13194"/>
  </r>
  <r>
    <x v="2"/>
    <s v="CD"/>
    <n v="13208"/>
  </r>
  <r>
    <x v="3"/>
    <s v="Checking"/>
    <n v="13218"/>
  </r>
  <r>
    <x v="7"/>
    <s v="Savings"/>
    <n v="13405"/>
  </r>
  <r>
    <x v="4"/>
    <s v="CD"/>
    <n v="13443"/>
  </r>
  <r>
    <x v="5"/>
    <s v="CD"/>
    <n v="13476"/>
  </r>
  <r>
    <x v="4"/>
    <s v="Checking"/>
    <n v="13496"/>
  </r>
  <r>
    <x v="5"/>
    <s v="Savings"/>
    <n v="13529"/>
  </r>
  <r>
    <x v="3"/>
    <s v="CD"/>
    <n v="13532"/>
  </r>
  <r>
    <x v="4"/>
    <s v="CD"/>
    <n v="13536"/>
  </r>
  <r>
    <x v="5"/>
    <s v="Savings"/>
    <n v="13546"/>
  </r>
  <r>
    <x v="4"/>
    <s v="CD"/>
    <n v="13554"/>
  </r>
  <r>
    <x v="4"/>
    <s v="CD"/>
    <n v="13573"/>
  </r>
  <r>
    <x v="4"/>
    <s v="CD"/>
    <n v="13574"/>
  </r>
  <r>
    <x v="4"/>
    <s v="CD"/>
    <n v="13574"/>
  </r>
  <r>
    <x v="5"/>
    <s v="CD"/>
    <n v="13577"/>
  </r>
  <r>
    <x v="4"/>
    <s v="CD"/>
    <n v="13598"/>
  </r>
  <r>
    <x v="5"/>
    <s v="CD"/>
    <n v="13603"/>
  </r>
  <r>
    <x v="1"/>
    <s v="CD"/>
    <n v="13604"/>
  </r>
  <r>
    <x v="5"/>
    <s v="CD"/>
    <n v="13604"/>
  </r>
  <r>
    <x v="1"/>
    <s v="CD"/>
    <n v="13613"/>
  </r>
  <r>
    <x v="3"/>
    <s v="CD"/>
    <n v="13616"/>
  </r>
  <r>
    <x v="2"/>
    <s v="CD"/>
    <n v="13665"/>
  </r>
  <r>
    <x v="3"/>
    <s v="Savings"/>
    <n v="13674"/>
  </r>
  <r>
    <x v="4"/>
    <s v="Savings"/>
    <n v="13685"/>
  </r>
  <r>
    <x v="3"/>
    <s v="CD"/>
    <n v="13697"/>
  </r>
  <r>
    <x v="5"/>
    <s v="CD"/>
    <n v="13704"/>
  </r>
  <r>
    <x v="2"/>
    <s v="Savings"/>
    <n v="13712"/>
  </r>
  <r>
    <x v="4"/>
    <s v="CD"/>
    <n v="13715"/>
  </r>
  <r>
    <x v="5"/>
    <s v="CD"/>
    <n v="13726"/>
  </r>
  <r>
    <x v="3"/>
    <s v="Checking"/>
    <n v="13842"/>
  </r>
  <r>
    <x v="5"/>
    <s v="Checking"/>
    <n v="13903"/>
  </r>
  <r>
    <x v="3"/>
    <s v="Savings"/>
    <n v="13904"/>
  </r>
  <r>
    <x v="2"/>
    <s v="CD"/>
    <n v="13936"/>
  </r>
  <r>
    <x v="5"/>
    <s v="CD"/>
    <n v="13938"/>
  </r>
  <r>
    <x v="5"/>
    <s v="CD"/>
    <n v="13975"/>
  </r>
  <r>
    <x v="1"/>
    <s v="CD"/>
    <n v="14001"/>
  </r>
  <r>
    <x v="4"/>
    <s v="Savings"/>
    <n v="14018"/>
  </r>
  <r>
    <x v="4"/>
    <s v="CD"/>
    <n v="14111"/>
  </r>
  <r>
    <x v="1"/>
    <s v="CD"/>
    <n v="14183"/>
  </r>
  <r>
    <x v="4"/>
    <s v="Checking"/>
    <n v="14251"/>
  </r>
  <r>
    <x v="1"/>
    <s v="CD"/>
    <n v="14260"/>
  </r>
  <r>
    <x v="1"/>
    <s v="Checking"/>
    <n v="14325"/>
  </r>
  <r>
    <x v="2"/>
    <s v="Checking"/>
    <n v="14361"/>
  </r>
  <r>
    <x v="2"/>
    <s v="Checking"/>
    <n v="14475"/>
  </r>
  <r>
    <x v="4"/>
    <s v="Checking"/>
    <n v="14522"/>
  </r>
  <r>
    <x v="2"/>
    <s v="Checking"/>
    <n v="14526"/>
  </r>
  <r>
    <x v="3"/>
    <s v="Savings"/>
    <n v="14571"/>
  </r>
  <r>
    <x v="2"/>
    <s v="Savings"/>
    <n v="14582"/>
  </r>
  <r>
    <x v="4"/>
    <s v="CD"/>
    <n v="14591"/>
  </r>
  <r>
    <x v="4"/>
    <s v="CD"/>
    <n v="14601"/>
  </r>
  <r>
    <x v="3"/>
    <s v="CD"/>
    <n v="14613"/>
  </r>
  <r>
    <x v="0"/>
    <s v="Savings"/>
    <n v="14613"/>
  </r>
  <r>
    <x v="5"/>
    <s v="CD"/>
    <n v="14624"/>
  </r>
  <r>
    <x v="3"/>
    <s v="Savings"/>
    <n v="14648"/>
  </r>
  <r>
    <x v="2"/>
    <s v="CD"/>
    <n v="14659"/>
  </r>
  <r>
    <x v="0"/>
    <s v="CD"/>
    <n v="14678"/>
  </r>
  <r>
    <x v="5"/>
    <s v="Checking"/>
    <n v="14721"/>
  </r>
  <r>
    <x v="2"/>
    <s v="CD"/>
    <n v="14732"/>
  </r>
  <r>
    <x v="2"/>
    <s v="Savings"/>
    <n v="14738"/>
  </r>
  <r>
    <x v="5"/>
    <s v="CD"/>
    <n v="14739"/>
  </r>
  <r>
    <x v="1"/>
    <s v="Checking"/>
    <n v="14748"/>
  </r>
  <r>
    <x v="1"/>
    <s v="Checking"/>
    <n v="14756"/>
  </r>
  <r>
    <x v="4"/>
    <s v="CD"/>
    <n v="14761"/>
  </r>
  <r>
    <x v="2"/>
    <s v="Checking"/>
    <n v="14812"/>
  </r>
  <r>
    <x v="4"/>
    <s v="Savings"/>
    <n v="14817"/>
  </r>
  <r>
    <x v="5"/>
    <s v="Checking"/>
    <n v="14825"/>
  </r>
  <r>
    <x v="3"/>
    <s v="Savings"/>
    <n v="14853"/>
  </r>
  <r>
    <x v="4"/>
    <s v="CD"/>
    <n v="14860"/>
  </r>
  <r>
    <x v="4"/>
    <s v="Savings"/>
    <n v="14890"/>
  </r>
  <r>
    <x v="1"/>
    <s v="Savings"/>
    <n v="14910"/>
  </r>
  <r>
    <x v="2"/>
    <s v="Checking"/>
    <n v="14944"/>
  </r>
  <r>
    <x v="7"/>
    <s v="Checking"/>
    <n v="14987"/>
  </r>
  <r>
    <x v="6"/>
    <s v="CD"/>
    <n v="15004"/>
  </r>
  <r>
    <x v="1"/>
    <s v="CD"/>
    <n v="15005"/>
  </r>
  <r>
    <x v="2"/>
    <s v="CD"/>
    <n v="15028"/>
  </r>
  <r>
    <x v="4"/>
    <s v="CD"/>
    <n v="15061"/>
  </r>
  <r>
    <x v="3"/>
    <s v="CD"/>
    <n v="15221"/>
  </r>
  <r>
    <x v="3"/>
    <s v="CD"/>
    <n v="15264"/>
  </r>
  <r>
    <x v="4"/>
    <s v="CD"/>
    <n v="15264"/>
  </r>
  <r>
    <x v="3"/>
    <s v="CD"/>
    <n v="15289"/>
  </r>
  <r>
    <x v="0"/>
    <s v="CD"/>
    <n v="15301"/>
  </r>
  <r>
    <x v="5"/>
    <s v="Savings"/>
    <n v="15305"/>
  </r>
  <r>
    <x v="4"/>
    <s v="CD"/>
    <n v="15765"/>
  </r>
  <r>
    <x v="4"/>
    <s v="CD"/>
    <n v="15783"/>
  </r>
  <r>
    <x v="3"/>
    <s v="CD"/>
    <n v="15826"/>
  </r>
  <r>
    <x v="3"/>
    <s v="Savings"/>
    <n v="15989"/>
  </r>
  <r>
    <x v="2"/>
    <s v="CD"/>
    <n v="16016"/>
  </r>
  <r>
    <x v="5"/>
    <s v="CD"/>
    <n v="16039"/>
  </r>
  <r>
    <x v="1"/>
    <s v="CD"/>
    <n v="16084"/>
  </r>
  <r>
    <x v="6"/>
    <s v="CD"/>
    <n v="16094"/>
  </r>
  <r>
    <x v="6"/>
    <s v="CD"/>
    <n v="17012"/>
  </r>
  <r>
    <x v="3"/>
    <s v="CD"/>
    <n v="17032"/>
  </r>
  <r>
    <x v="2"/>
    <s v="CD"/>
    <n v="17049"/>
  </r>
  <r>
    <x v="4"/>
    <s v="CD"/>
    <n v="17069"/>
  </r>
  <r>
    <x v="4"/>
    <s v="Savings"/>
    <n v="19080"/>
  </r>
  <r>
    <x v="2"/>
    <s v="Savings"/>
    <n v="21079"/>
  </r>
  <r>
    <x v="2"/>
    <s v="CD"/>
    <n v="25050"/>
  </r>
  <r>
    <x v="5"/>
    <s v="Savings"/>
    <n v="25088"/>
  </r>
  <r>
    <x v="5"/>
    <s v="Savings"/>
    <n v="30020"/>
  </r>
  <r>
    <x v="5"/>
    <s v="Savings"/>
    <n v="32043"/>
  </r>
  <r>
    <x v="3"/>
    <s v="CD"/>
    <n v="35010"/>
  </r>
  <r>
    <x v="6"/>
    <s v="CD"/>
    <n v="35063"/>
  </r>
  <r>
    <x v="3"/>
    <s v="Checking"/>
    <n v="35774"/>
  </r>
  <r>
    <x v="1"/>
    <s v="Savings"/>
    <n v="40692"/>
  </r>
  <r>
    <x v="2"/>
    <s v="CD"/>
    <n v="45006"/>
  </r>
  <r>
    <x v="2"/>
    <s v="CD"/>
    <n v="45029"/>
  </r>
  <r>
    <x v="5"/>
    <s v="CD"/>
    <n v="50011"/>
  </r>
  <r>
    <x v="3"/>
    <s v="Savings"/>
    <n v="50038"/>
  </r>
  <r>
    <x v="4"/>
    <s v="CD"/>
    <n v="50046"/>
  </r>
  <r>
    <x v="5"/>
    <s v="CD"/>
    <n v="50052"/>
  </r>
  <r>
    <x v="4"/>
    <s v="CD"/>
    <n v="50090"/>
  </r>
  <r>
    <x v="1"/>
    <s v="Savings"/>
    <n v="65001"/>
  </r>
  <r>
    <x v="3"/>
    <s v="Savings"/>
    <n v="65014"/>
  </r>
  <r>
    <x v="2"/>
    <s v="CD"/>
    <n v="75013"/>
  </r>
  <r>
    <x v="4"/>
    <s v="CD"/>
    <n v="75020"/>
  </r>
  <r>
    <x v="1"/>
    <s v="CD"/>
    <n v="75032"/>
  </r>
  <r>
    <x v="3"/>
    <s v="CD"/>
    <n v="75039"/>
  </r>
  <r>
    <x v="4"/>
    <s v="CD"/>
    <n v="75046"/>
  </r>
  <r>
    <x v="4"/>
    <s v="CD"/>
    <n v="90007"/>
  </r>
  <r>
    <x v="4"/>
    <s v="CD"/>
    <n v="90025"/>
  </r>
  <r>
    <x v="5"/>
    <s v="CD"/>
    <n v="900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4">
  <r>
    <x v="0"/>
    <x v="0"/>
    <n v="101"/>
  </r>
  <r>
    <x v="1"/>
    <x v="0"/>
    <n v="101"/>
  </r>
  <r>
    <x v="1"/>
    <x v="0"/>
    <n v="109"/>
  </r>
  <r>
    <x v="2"/>
    <x v="0"/>
    <n v="110"/>
  </r>
  <r>
    <x v="3"/>
    <x v="0"/>
    <n v="111"/>
  </r>
  <r>
    <x v="4"/>
    <x v="0"/>
    <n v="113"/>
  </r>
  <r>
    <x v="2"/>
    <x v="0"/>
    <n v="126"/>
  </r>
  <r>
    <x v="2"/>
    <x v="0"/>
    <n v="135"/>
  </r>
  <r>
    <x v="4"/>
    <x v="0"/>
    <n v="136"/>
  </r>
  <r>
    <x v="4"/>
    <x v="0"/>
    <n v="140"/>
  </r>
  <r>
    <x v="4"/>
    <x v="0"/>
    <n v="145"/>
  </r>
  <r>
    <x v="3"/>
    <x v="0"/>
    <n v="156"/>
  </r>
  <r>
    <x v="5"/>
    <x v="0"/>
    <n v="162"/>
  </r>
  <r>
    <x v="1"/>
    <x v="0"/>
    <n v="163"/>
  </r>
  <r>
    <x v="4"/>
    <x v="0"/>
    <n v="182"/>
  </r>
  <r>
    <x v="6"/>
    <x v="0"/>
    <n v="188"/>
  </r>
  <r>
    <x v="0"/>
    <x v="0"/>
    <n v="191"/>
  </r>
  <r>
    <x v="4"/>
    <x v="0"/>
    <n v="192"/>
  </r>
  <r>
    <x v="4"/>
    <x v="0"/>
    <n v="192"/>
  </r>
  <r>
    <x v="4"/>
    <x v="0"/>
    <n v="192"/>
  </r>
  <r>
    <x v="4"/>
    <x v="0"/>
    <n v="193"/>
  </r>
  <r>
    <x v="2"/>
    <x v="0"/>
    <n v="199"/>
  </r>
  <r>
    <x v="0"/>
    <x v="1"/>
    <n v="202"/>
  </r>
  <r>
    <x v="5"/>
    <x v="0"/>
    <n v="212"/>
  </r>
  <r>
    <x v="3"/>
    <x v="1"/>
    <n v="217"/>
  </r>
  <r>
    <x v="3"/>
    <x v="0"/>
    <n v="228"/>
  </r>
  <r>
    <x v="4"/>
    <x v="1"/>
    <n v="230"/>
  </r>
  <r>
    <x v="2"/>
    <x v="0"/>
    <n v="242"/>
  </r>
  <r>
    <x v="5"/>
    <x v="0"/>
    <n v="244"/>
  </r>
  <r>
    <x v="1"/>
    <x v="1"/>
    <n v="256"/>
  </r>
  <r>
    <x v="1"/>
    <x v="0"/>
    <n v="262"/>
  </r>
  <r>
    <x v="2"/>
    <x v="0"/>
    <n v="263"/>
  </r>
  <r>
    <x v="1"/>
    <x v="0"/>
    <n v="269"/>
  </r>
  <r>
    <x v="4"/>
    <x v="0"/>
    <n v="270"/>
  </r>
  <r>
    <x v="3"/>
    <x v="0"/>
    <n v="289"/>
  </r>
  <r>
    <x v="4"/>
    <x v="0"/>
    <n v="307"/>
  </r>
  <r>
    <x v="2"/>
    <x v="0"/>
    <n v="307"/>
  </r>
  <r>
    <x v="5"/>
    <x v="1"/>
    <n v="308"/>
  </r>
  <r>
    <x v="2"/>
    <x v="0"/>
    <n v="318"/>
  </r>
  <r>
    <x v="4"/>
    <x v="0"/>
    <n v="319"/>
  </r>
  <r>
    <x v="2"/>
    <x v="1"/>
    <n v="332"/>
  </r>
  <r>
    <x v="6"/>
    <x v="0"/>
    <n v="341"/>
  </r>
  <r>
    <x v="4"/>
    <x v="0"/>
    <n v="374"/>
  </r>
  <r>
    <x v="0"/>
    <x v="0"/>
    <n v="377"/>
  </r>
  <r>
    <x v="6"/>
    <x v="0"/>
    <n v="384"/>
  </r>
  <r>
    <x v="4"/>
    <x v="0"/>
    <n v="419"/>
  </r>
  <r>
    <x v="4"/>
    <x v="0"/>
    <n v="423"/>
  </r>
  <r>
    <x v="5"/>
    <x v="0"/>
    <n v="430"/>
  </r>
  <r>
    <x v="4"/>
    <x v="0"/>
    <n v="443"/>
  </r>
  <r>
    <x v="4"/>
    <x v="0"/>
    <n v="446"/>
  </r>
  <r>
    <x v="4"/>
    <x v="0"/>
    <n v="452"/>
  </r>
  <r>
    <x v="3"/>
    <x v="0"/>
    <n v="461"/>
  </r>
  <r>
    <x v="4"/>
    <x v="0"/>
    <n v="463"/>
  </r>
  <r>
    <x v="6"/>
    <x v="0"/>
    <n v="471"/>
  </r>
  <r>
    <x v="5"/>
    <x v="0"/>
    <n v="476"/>
  </r>
  <r>
    <x v="4"/>
    <x v="0"/>
    <n v="486"/>
  </r>
  <r>
    <x v="5"/>
    <x v="1"/>
    <n v="504"/>
  </r>
  <r>
    <x v="0"/>
    <x v="1"/>
    <n v="506"/>
  </r>
  <r>
    <x v="1"/>
    <x v="0"/>
    <n v="509"/>
  </r>
  <r>
    <x v="4"/>
    <x v="0"/>
    <n v="510"/>
  </r>
  <r>
    <x v="2"/>
    <x v="1"/>
    <n v="523"/>
  </r>
  <r>
    <x v="6"/>
    <x v="1"/>
    <n v="531"/>
  </r>
  <r>
    <x v="5"/>
    <x v="0"/>
    <n v="539"/>
  </r>
  <r>
    <x v="5"/>
    <x v="1"/>
    <n v="542"/>
  </r>
  <r>
    <x v="5"/>
    <x v="0"/>
    <n v="542"/>
  </r>
  <r>
    <x v="4"/>
    <x v="0"/>
    <n v="544"/>
  </r>
  <r>
    <x v="4"/>
    <x v="1"/>
    <n v="545"/>
  </r>
  <r>
    <x v="2"/>
    <x v="0"/>
    <n v="554"/>
  </r>
  <r>
    <x v="4"/>
    <x v="0"/>
    <n v="564"/>
  </r>
  <r>
    <x v="0"/>
    <x v="0"/>
    <n v="565"/>
  </r>
  <r>
    <x v="7"/>
    <x v="0"/>
    <n v="569"/>
  </r>
  <r>
    <x v="3"/>
    <x v="1"/>
    <n v="573"/>
  </r>
  <r>
    <x v="5"/>
    <x v="0"/>
    <n v="575"/>
  </r>
  <r>
    <x v="2"/>
    <x v="0"/>
    <n v="576"/>
  </r>
  <r>
    <x v="3"/>
    <x v="0"/>
    <n v="577"/>
  </r>
  <r>
    <x v="5"/>
    <x v="0"/>
    <n v="580"/>
  </r>
  <r>
    <x v="5"/>
    <x v="0"/>
    <n v="582"/>
  </r>
  <r>
    <x v="4"/>
    <x v="0"/>
    <n v="584"/>
  </r>
  <r>
    <x v="5"/>
    <x v="0"/>
    <n v="590"/>
  </r>
  <r>
    <x v="7"/>
    <x v="0"/>
    <n v="594"/>
  </r>
  <r>
    <x v="4"/>
    <x v="1"/>
    <n v="597"/>
  </r>
  <r>
    <x v="6"/>
    <x v="0"/>
    <n v="598"/>
  </r>
  <r>
    <x v="2"/>
    <x v="1"/>
    <n v="602"/>
  </r>
  <r>
    <x v="4"/>
    <x v="1"/>
    <n v="619"/>
  </r>
  <r>
    <x v="1"/>
    <x v="1"/>
    <n v="649"/>
  </r>
  <r>
    <x v="3"/>
    <x v="1"/>
    <n v="660"/>
  </r>
  <r>
    <x v="7"/>
    <x v="1"/>
    <n v="666"/>
  </r>
  <r>
    <x v="1"/>
    <x v="0"/>
    <n v="1001"/>
  </r>
  <r>
    <x v="2"/>
    <x v="0"/>
    <n v="1001"/>
  </r>
  <r>
    <x v="2"/>
    <x v="0"/>
    <n v="1003"/>
  </r>
  <r>
    <x v="0"/>
    <x v="0"/>
    <n v="1037"/>
  </r>
  <r>
    <x v="5"/>
    <x v="0"/>
    <n v="1042"/>
  </r>
  <r>
    <x v="1"/>
    <x v="0"/>
    <n v="1060"/>
  </r>
  <r>
    <x v="4"/>
    <x v="1"/>
    <n v="1081"/>
  </r>
  <r>
    <x v="3"/>
    <x v="0"/>
    <n v="1082"/>
  </r>
  <r>
    <x v="5"/>
    <x v="0"/>
    <n v="1093"/>
  </r>
  <r>
    <x v="2"/>
    <x v="0"/>
    <n v="1100"/>
  </r>
  <r>
    <x v="5"/>
    <x v="0"/>
    <n v="1382"/>
  </r>
  <r>
    <x v="4"/>
    <x v="0"/>
    <n v="1385"/>
  </r>
  <r>
    <x v="3"/>
    <x v="2"/>
    <n v="2002"/>
  </r>
  <r>
    <x v="2"/>
    <x v="0"/>
    <n v="2011"/>
  </r>
  <r>
    <x v="5"/>
    <x v="2"/>
    <n v="2025"/>
  </r>
  <r>
    <x v="2"/>
    <x v="0"/>
    <n v="2031"/>
  </r>
  <r>
    <x v="2"/>
    <x v="3"/>
    <n v="2043"/>
  </r>
  <r>
    <x v="2"/>
    <x v="3"/>
    <n v="2048"/>
  </r>
  <r>
    <x v="4"/>
    <x v="3"/>
    <n v="2065"/>
  </r>
  <r>
    <x v="4"/>
    <x v="2"/>
    <n v="2067"/>
  </r>
  <r>
    <x v="4"/>
    <x v="3"/>
    <n v="2076"/>
  </r>
  <r>
    <x v="1"/>
    <x v="3"/>
    <n v="2076"/>
  </r>
  <r>
    <x v="5"/>
    <x v="0"/>
    <n v="2094"/>
  </r>
  <r>
    <x v="5"/>
    <x v="3"/>
    <n v="2098"/>
  </r>
  <r>
    <x v="2"/>
    <x v="0"/>
    <n v="2776"/>
  </r>
  <r>
    <x v="3"/>
    <x v="0"/>
    <n v="2792"/>
  </r>
  <r>
    <x v="1"/>
    <x v="0"/>
    <n v="2799"/>
  </r>
  <r>
    <x v="2"/>
    <x v="0"/>
    <n v="2805"/>
  </r>
  <r>
    <x v="3"/>
    <x v="0"/>
    <n v="2825"/>
  </r>
  <r>
    <x v="2"/>
    <x v="1"/>
    <n v="2889"/>
  </r>
  <r>
    <x v="1"/>
    <x v="1"/>
    <n v="2898"/>
  </r>
  <r>
    <x v="4"/>
    <x v="1"/>
    <n v="2928"/>
  </r>
  <r>
    <x v="5"/>
    <x v="1"/>
    <n v="2951"/>
  </r>
  <r>
    <x v="3"/>
    <x v="1"/>
    <n v="2961"/>
  </r>
  <r>
    <x v="3"/>
    <x v="0"/>
    <n v="3019"/>
  </r>
  <r>
    <x v="4"/>
    <x v="0"/>
    <n v="3049"/>
  </r>
  <r>
    <x v="1"/>
    <x v="0"/>
    <n v="3051"/>
  </r>
  <r>
    <x v="1"/>
    <x v="0"/>
    <n v="3051"/>
  </r>
  <r>
    <x v="4"/>
    <x v="0"/>
    <n v="3062"/>
  </r>
  <r>
    <x v="2"/>
    <x v="0"/>
    <n v="3068"/>
  </r>
  <r>
    <x v="1"/>
    <x v="0"/>
    <n v="3069"/>
  </r>
  <r>
    <x v="3"/>
    <x v="0"/>
    <n v="3072"/>
  </r>
  <r>
    <x v="6"/>
    <x v="0"/>
    <n v="3079"/>
  </r>
  <r>
    <x v="5"/>
    <x v="0"/>
    <n v="3094"/>
  </r>
  <r>
    <x v="4"/>
    <x v="0"/>
    <n v="3097"/>
  </r>
  <r>
    <x v="3"/>
    <x v="0"/>
    <n v="3131"/>
  </r>
  <r>
    <x v="2"/>
    <x v="0"/>
    <n v="3144"/>
  </r>
  <r>
    <x v="1"/>
    <x v="0"/>
    <n v="3150"/>
  </r>
  <r>
    <x v="1"/>
    <x v="0"/>
    <n v="3198"/>
  </r>
  <r>
    <x v="2"/>
    <x v="0"/>
    <n v="3203"/>
  </r>
  <r>
    <x v="3"/>
    <x v="0"/>
    <n v="3222"/>
  </r>
  <r>
    <x v="3"/>
    <x v="0"/>
    <n v="3231"/>
  </r>
  <r>
    <x v="4"/>
    <x v="0"/>
    <n v="3264"/>
  </r>
  <r>
    <x v="3"/>
    <x v="0"/>
    <n v="3438"/>
  </r>
  <r>
    <x v="3"/>
    <x v="0"/>
    <n v="3473"/>
  </r>
  <r>
    <x v="4"/>
    <x v="0"/>
    <n v="3499"/>
  </r>
  <r>
    <x v="2"/>
    <x v="0"/>
    <n v="3516"/>
  </r>
  <r>
    <x v="4"/>
    <x v="2"/>
    <n v="3601"/>
  </r>
  <r>
    <x v="1"/>
    <x v="1"/>
    <n v="3615"/>
  </r>
  <r>
    <x v="4"/>
    <x v="1"/>
    <n v="3628"/>
  </r>
  <r>
    <x v="0"/>
    <x v="1"/>
    <n v="3646"/>
  </r>
  <r>
    <x v="0"/>
    <x v="0"/>
    <n v="3716"/>
  </r>
  <r>
    <x v="2"/>
    <x v="0"/>
    <n v="3719"/>
  </r>
  <r>
    <x v="4"/>
    <x v="0"/>
    <n v="3767"/>
  </r>
  <r>
    <x v="4"/>
    <x v="0"/>
    <n v="3794"/>
  </r>
  <r>
    <x v="2"/>
    <x v="2"/>
    <n v="3805"/>
  </r>
  <r>
    <x v="4"/>
    <x v="0"/>
    <n v="3818"/>
  </r>
  <r>
    <x v="4"/>
    <x v="0"/>
    <n v="3825"/>
  </r>
  <r>
    <x v="4"/>
    <x v="0"/>
    <n v="3879"/>
  </r>
  <r>
    <x v="3"/>
    <x v="0"/>
    <n v="3885"/>
  </r>
  <r>
    <x v="5"/>
    <x v="0"/>
    <n v="3906"/>
  </r>
  <r>
    <x v="3"/>
    <x v="0"/>
    <n v="3910"/>
  </r>
  <r>
    <x v="1"/>
    <x v="1"/>
    <n v="3913"/>
  </r>
  <r>
    <x v="3"/>
    <x v="0"/>
    <n v="3988"/>
  </r>
  <r>
    <x v="6"/>
    <x v="0"/>
    <n v="4002"/>
  </r>
  <r>
    <x v="3"/>
    <x v="0"/>
    <n v="4006"/>
  </r>
  <r>
    <x v="2"/>
    <x v="0"/>
    <n v="4009"/>
  </r>
  <r>
    <x v="6"/>
    <x v="0"/>
    <n v="4011"/>
  </r>
  <r>
    <x v="3"/>
    <x v="1"/>
    <n v="4013"/>
  </r>
  <r>
    <x v="0"/>
    <x v="0"/>
    <n v="4019"/>
  </r>
  <r>
    <x v="6"/>
    <x v="0"/>
    <n v="4025"/>
  </r>
  <r>
    <x v="1"/>
    <x v="0"/>
    <n v="4025"/>
  </r>
  <r>
    <x v="2"/>
    <x v="0"/>
    <n v="4026"/>
  </r>
  <r>
    <x v="0"/>
    <x v="0"/>
    <n v="4028"/>
  </r>
  <r>
    <x v="5"/>
    <x v="0"/>
    <n v="4031"/>
  </r>
  <r>
    <x v="0"/>
    <x v="0"/>
    <n v="4034"/>
  </r>
  <r>
    <x v="4"/>
    <x v="1"/>
    <n v="4036"/>
  </r>
  <r>
    <x v="4"/>
    <x v="1"/>
    <n v="4036"/>
  </r>
  <r>
    <x v="3"/>
    <x v="0"/>
    <n v="4042"/>
  </r>
  <r>
    <x v="5"/>
    <x v="1"/>
    <n v="4047"/>
  </r>
  <r>
    <x v="3"/>
    <x v="0"/>
    <n v="4049"/>
  </r>
  <r>
    <x v="5"/>
    <x v="2"/>
    <n v="4049"/>
  </r>
  <r>
    <x v="4"/>
    <x v="1"/>
    <n v="4050"/>
  </r>
  <r>
    <x v="6"/>
    <x v="0"/>
    <n v="4056"/>
  </r>
  <r>
    <x v="5"/>
    <x v="1"/>
    <n v="4059"/>
  </r>
  <r>
    <x v="2"/>
    <x v="1"/>
    <n v="4061"/>
  </r>
  <r>
    <x v="4"/>
    <x v="0"/>
    <n v="4065"/>
  </r>
  <r>
    <x v="3"/>
    <x v="0"/>
    <n v="4067"/>
  </r>
  <r>
    <x v="2"/>
    <x v="1"/>
    <n v="4068"/>
  </r>
  <r>
    <x v="5"/>
    <x v="0"/>
    <n v="4073"/>
  </r>
  <r>
    <x v="4"/>
    <x v="0"/>
    <n v="4076"/>
  </r>
  <r>
    <x v="3"/>
    <x v="0"/>
    <n v="4077"/>
  </r>
  <r>
    <x v="4"/>
    <x v="0"/>
    <n v="4077"/>
  </r>
  <r>
    <x v="3"/>
    <x v="0"/>
    <n v="4082"/>
  </r>
  <r>
    <x v="4"/>
    <x v="1"/>
    <n v="4082"/>
  </r>
  <r>
    <x v="4"/>
    <x v="0"/>
    <n v="4086"/>
  </r>
  <r>
    <x v="4"/>
    <x v="0"/>
    <n v="4086"/>
  </r>
  <r>
    <x v="0"/>
    <x v="0"/>
    <n v="4087"/>
  </r>
  <r>
    <x v="1"/>
    <x v="0"/>
    <n v="4087"/>
  </r>
  <r>
    <x v="4"/>
    <x v="0"/>
    <n v="4090"/>
  </r>
  <r>
    <x v="4"/>
    <x v="1"/>
    <n v="4096"/>
  </r>
  <r>
    <x v="1"/>
    <x v="0"/>
    <n v="4096"/>
  </r>
  <r>
    <x v="3"/>
    <x v="0"/>
    <n v="4098"/>
  </r>
  <r>
    <x v="5"/>
    <x v="1"/>
    <n v="4117"/>
  </r>
  <r>
    <x v="4"/>
    <x v="2"/>
    <n v="4246"/>
  </r>
  <r>
    <x v="0"/>
    <x v="2"/>
    <n v="4274"/>
  </r>
  <r>
    <x v="1"/>
    <x v="0"/>
    <n v="4277"/>
  </r>
  <r>
    <x v="3"/>
    <x v="1"/>
    <n v="4291"/>
  </r>
  <r>
    <x v="4"/>
    <x v="0"/>
    <n v="4306"/>
  </r>
  <r>
    <x v="3"/>
    <x v="2"/>
    <n v="4339"/>
  </r>
  <r>
    <x v="3"/>
    <x v="2"/>
    <n v="4391"/>
  </r>
  <r>
    <x v="3"/>
    <x v="2"/>
    <n v="4397"/>
  </r>
  <r>
    <x v="4"/>
    <x v="2"/>
    <n v="4397"/>
  </r>
  <r>
    <x v="2"/>
    <x v="1"/>
    <n v="4404"/>
  </r>
  <r>
    <x v="5"/>
    <x v="1"/>
    <n v="4410"/>
  </r>
  <r>
    <x v="3"/>
    <x v="1"/>
    <n v="4436"/>
  </r>
  <r>
    <x v="4"/>
    <x v="0"/>
    <n v="4449"/>
  </r>
  <r>
    <x v="3"/>
    <x v="0"/>
    <n v="4546"/>
  </r>
  <r>
    <x v="2"/>
    <x v="0"/>
    <n v="4562"/>
  </r>
  <r>
    <x v="4"/>
    <x v="0"/>
    <n v="4567"/>
  </r>
  <r>
    <x v="3"/>
    <x v="0"/>
    <n v="4572"/>
  </r>
  <r>
    <x v="4"/>
    <x v="2"/>
    <n v="4574"/>
  </r>
  <r>
    <x v="3"/>
    <x v="0"/>
    <n v="4579"/>
  </r>
  <r>
    <x v="3"/>
    <x v="0"/>
    <n v="4592"/>
  </r>
  <r>
    <x v="1"/>
    <x v="2"/>
    <n v="4616"/>
  </r>
  <r>
    <x v="5"/>
    <x v="0"/>
    <n v="4622"/>
  </r>
  <r>
    <x v="4"/>
    <x v="0"/>
    <n v="4660"/>
  </r>
  <r>
    <x v="2"/>
    <x v="0"/>
    <n v="4679"/>
  </r>
  <r>
    <x v="4"/>
    <x v="1"/>
    <n v="4696"/>
  </r>
  <r>
    <x v="6"/>
    <x v="1"/>
    <n v="4697"/>
  </r>
  <r>
    <x v="1"/>
    <x v="1"/>
    <n v="4697"/>
  </r>
  <r>
    <x v="6"/>
    <x v="2"/>
    <n v="4709"/>
  </r>
  <r>
    <x v="3"/>
    <x v="0"/>
    <n v="4735"/>
  </r>
  <r>
    <x v="4"/>
    <x v="0"/>
    <n v="4749"/>
  </r>
  <r>
    <x v="2"/>
    <x v="2"/>
    <n v="4768"/>
  </r>
  <r>
    <x v="1"/>
    <x v="0"/>
    <n v="4815"/>
  </r>
  <r>
    <x v="4"/>
    <x v="1"/>
    <n v="4843"/>
  </r>
  <r>
    <x v="4"/>
    <x v="0"/>
    <n v="4852"/>
  </r>
  <r>
    <x v="5"/>
    <x v="0"/>
    <n v="4870"/>
  </r>
  <r>
    <x v="5"/>
    <x v="2"/>
    <n v="4896"/>
  </r>
  <r>
    <x v="1"/>
    <x v="1"/>
    <n v="4943"/>
  </r>
  <r>
    <x v="5"/>
    <x v="0"/>
    <n v="5000"/>
  </r>
  <r>
    <x v="5"/>
    <x v="1"/>
    <n v="5004"/>
  </r>
  <r>
    <x v="1"/>
    <x v="1"/>
    <n v="5006"/>
  </r>
  <r>
    <x v="2"/>
    <x v="2"/>
    <n v="5008"/>
  </r>
  <r>
    <x v="4"/>
    <x v="1"/>
    <n v="5021"/>
  </r>
  <r>
    <x v="4"/>
    <x v="1"/>
    <n v="5021"/>
  </r>
  <r>
    <x v="4"/>
    <x v="2"/>
    <n v="5022"/>
  </r>
  <r>
    <x v="3"/>
    <x v="0"/>
    <n v="5031"/>
  </r>
  <r>
    <x v="1"/>
    <x v="0"/>
    <n v="5040"/>
  </r>
  <r>
    <x v="1"/>
    <x v="1"/>
    <n v="5050"/>
  </r>
  <r>
    <x v="3"/>
    <x v="1"/>
    <n v="5055"/>
  </r>
  <r>
    <x v="4"/>
    <x v="0"/>
    <n v="5064"/>
  </r>
  <r>
    <x v="3"/>
    <x v="2"/>
    <n v="5068"/>
  </r>
  <r>
    <x v="1"/>
    <x v="1"/>
    <n v="5069"/>
  </r>
  <r>
    <x v="4"/>
    <x v="1"/>
    <n v="5072"/>
  </r>
  <r>
    <x v="5"/>
    <x v="0"/>
    <n v="5073"/>
  </r>
  <r>
    <x v="1"/>
    <x v="1"/>
    <n v="5080"/>
  </r>
  <r>
    <x v="1"/>
    <x v="2"/>
    <n v="5082"/>
  </r>
  <r>
    <x v="5"/>
    <x v="0"/>
    <n v="5086"/>
  </r>
  <r>
    <x v="1"/>
    <x v="3"/>
    <n v="5087"/>
  </r>
  <r>
    <x v="4"/>
    <x v="0"/>
    <n v="5088"/>
  </r>
  <r>
    <x v="6"/>
    <x v="1"/>
    <n v="5090"/>
  </r>
  <r>
    <x v="4"/>
    <x v="2"/>
    <n v="5099"/>
  </r>
  <r>
    <x v="3"/>
    <x v="2"/>
    <n v="5121"/>
  </r>
  <r>
    <x v="4"/>
    <x v="1"/>
    <n v="5163"/>
  </r>
  <r>
    <x v="6"/>
    <x v="0"/>
    <n v="5181"/>
  </r>
  <r>
    <x v="2"/>
    <x v="0"/>
    <n v="5220"/>
  </r>
  <r>
    <x v="2"/>
    <x v="1"/>
    <n v="5242"/>
  </r>
  <r>
    <x v="3"/>
    <x v="1"/>
    <n v="5296"/>
  </r>
  <r>
    <x v="4"/>
    <x v="0"/>
    <n v="5308"/>
  </r>
  <r>
    <x v="1"/>
    <x v="0"/>
    <n v="5348"/>
  </r>
  <r>
    <x v="4"/>
    <x v="2"/>
    <n v="5390"/>
  </r>
  <r>
    <x v="4"/>
    <x v="1"/>
    <n v="5409"/>
  </r>
  <r>
    <x v="4"/>
    <x v="0"/>
    <n v="5425"/>
  </r>
  <r>
    <x v="5"/>
    <x v="2"/>
    <n v="5458"/>
  </r>
  <r>
    <x v="3"/>
    <x v="1"/>
    <n v="5461"/>
  </r>
  <r>
    <x v="4"/>
    <x v="1"/>
    <n v="5487"/>
  </r>
  <r>
    <x v="3"/>
    <x v="0"/>
    <n v="5532"/>
  </r>
  <r>
    <x v="4"/>
    <x v="0"/>
    <n v="5543"/>
  </r>
  <r>
    <x v="4"/>
    <x v="1"/>
    <n v="5585"/>
  </r>
  <r>
    <x v="1"/>
    <x v="0"/>
    <n v="5628"/>
  </r>
  <r>
    <x v="2"/>
    <x v="1"/>
    <n v="5630"/>
  </r>
  <r>
    <x v="1"/>
    <x v="2"/>
    <n v="5657"/>
  </r>
  <r>
    <x v="4"/>
    <x v="1"/>
    <n v="5667"/>
  </r>
  <r>
    <x v="3"/>
    <x v="1"/>
    <n v="5682"/>
  </r>
  <r>
    <x v="4"/>
    <x v="1"/>
    <n v="5691"/>
  </r>
  <r>
    <x v="6"/>
    <x v="1"/>
    <n v="5752"/>
  </r>
  <r>
    <x v="4"/>
    <x v="1"/>
    <n v="5773"/>
  </r>
  <r>
    <x v="2"/>
    <x v="1"/>
    <n v="5814"/>
  </r>
  <r>
    <x v="2"/>
    <x v="1"/>
    <n v="5815"/>
  </r>
  <r>
    <x v="4"/>
    <x v="2"/>
    <n v="5830"/>
  </r>
  <r>
    <x v="3"/>
    <x v="0"/>
    <n v="5888"/>
  </r>
  <r>
    <x v="3"/>
    <x v="0"/>
    <n v="5918"/>
  </r>
  <r>
    <x v="2"/>
    <x v="0"/>
    <n v="5933"/>
  </r>
  <r>
    <x v="5"/>
    <x v="0"/>
    <n v="5953"/>
  </r>
  <r>
    <x v="3"/>
    <x v="1"/>
    <n v="5959"/>
  </r>
  <r>
    <x v="3"/>
    <x v="0"/>
    <n v="5978"/>
  </r>
  <r>
    <x v="4"/>
    <x v="1"/>
    <n v="6002"/>
  </r>
  <r>
    <x v="4"/>
    <x v="0"/>
    <n v="6003"/>
  </r>
  <r>
    <x v="2"/>
    <x v="1"/>
    <n v="6009"/>
  </r>
  <r>
    <x v="2"/>
    <x v="2"/>
    <n v="6018"/>
  </r>
  <r>
    <x v="5"/>
    <x v="0"/>
    <n v="6019"/>
  </r>
  <r>
    <x v="4"/>
    <x v="1"/>
    <n v="6022"/>
  </r>
  <r>
    <x v="5"/>
    <x v="1"/>
    <n v="6022"/>
  </r>
  <r>
    <x v="1"/>
    <x v="1"/>
    <n v="6024"/>
  </r>
  <r>
    <x v="4"/>
    <x v="1"/>
    <n v="6027"/>
  </r>
  <r>
    <x v="1"/>
    <x v="1"/>
    <n v="6037"/>
  </r>
  <r>
    <x v="4"/>
    <x v="0"/>
    <n v="6041"/>
  </r>
  <r>
    <x v="2"/>
    <x v="0"/>
    <n v="6041"/>
  </r>
  <r>
    <x v="4"/>
    <x v="0"/>
    <n v="6042"/>
  </r>
  <r>
    <x v="4"/>
    <x v="0"/>
    <n v="6062"/>
  </r>
  <r>
    <x v="3"/>
    <x v="1"/>
    <n v="6064"/>
  </r>
  <r>
    <x v="3"/>
    <x v="1"/>
    <n v="6088"/>
  </r>
  <r>
    <x v="2"/>
    <x v="1"/>
    <n v="6107"/>
  </r>
  <r>
    <x v="4"/>
    <x v="2"/>
    <n v="6207"/>
  </r>
  <r>
    <x v="6"/>
    <x v="1"/>
    <n v="6240"/>
  </r>
  <r>
    <x v="5"/>
    <x v="2"/>
    <n v="6247"/>
  </r>
  <r>
    <x v="4"/>
    <x v="1"/>
    <n v="6343"/>
  </r>
  <r>
    <x v="5"/>
    <x v="0"/>
    <n v="6359"/>
  </r>
  <r>
    <x v="5"/>
    <x v="1"/>
    <n v="6398"/>
  </r>
  <r>
    <x v="2"/>
    <x v="2"/>
    <n v="6399"/>
  </r>
  <r>
    <x v="2"/>
    <x v="0"/>
    <n v="6460"/>
  </r>
  <r>
    <x v="0"/>
    <x v="1"/>
    <n v="6465"/>
  </r>
  <r>
    <x v="2"/>
    <x v="2"/>
    <n v="6570"/>
  </r>
  <r>
    <x v="1"/>
    <x v="0"/>
    <n v="6598"/>
  </r>
  <r>
    <x v="2"/>
    <x v="0"/>
    <n v="6610"/>
  </r>
  <r>
    <x v="0"/>
    <x v="2"/>
    <n v="6626"/>
  </r>
  <r>
    <x v="3"/>
    <x v="0"/>
    <n v="6632"/>
  </r>
  <r>
    <x v="5"/>
    <x v="1"/>
    <n v="6687"/>
  </r>
  <r>
    <x v="3"/>
    <x v="1"/>
    <n v="6706"/>
  </r>
  <r>
    <x v="2"/>
    <x v="2"/>
    <n v="6745"/>
  </r>
  <r>
    <x v="5"/>
    <x v="1"/>
    <n v="6750"/>
  </r>
  <r>
    <x v="4"/>
    <x v="1"/>
    <n v="6766"/>
  </r>
  <r>
    <x v="5"/>
    <x v="1"/>
    <n v="6811"/>
  </r>
  <r>
    <x v="2"/>
    <x v="1"/>
    <n v="6813"/>
  </r>
  <r>
    <x v="1"/>
    <x v="1"/>
    <n v="6816"/>
  </r>
  <r>
    <x v="4"/>
    <x v="1"/>
    <n v="6835"/>
  </r>
  <r>
    <x v="2"/>
    <x v="2"/>
    <n v="6841"/>
  </r>
  <r>
    <x v="2"/>
    <x v="2"/>
    <n v="6879"/>
  </r>
  <r>
    <x v="0"/>
    <x v="1"/>
    <n v="6901"/>
  </r>
  <r>
    <x v="3"/>
    <x v="1"/>
    <n v="7032"/>
  </r>
  <r>
    <x v="4"/>
    <x v="1"/>
    <n v="7056"/>
  </r>
  <r>
    <x v="1"/>
    <x v="1"/>
    <n v="7056"/>
  </r>
  <r>
    <x v="2"/>
    <x v="3"/>
    <n v="7061"/>
  </r>
  <r>
    <x v="5"/>
    <x v="2"/>
    <n v="7067"/>
  </r>
  <r>
    <x v="2"/>
    <x v="3"/>
    <n v="7072"/>
  </r>
  <r>
    <x v="3"/>
    <x v="3"/>
    <n v="7075"/>
  </r>
  <r>
    <x v="2"/>
    <x v="3"/>
    <n v="7081"/>
  </r>
  <r>
    <x v="3"/>
    <x v="1"/>
    <n v="7094"/>
  </r>
  <r>
    <x v="4"/>
    <x v="1"/>
    <n v="7134"/>
  </r>
  <r>
    <x v="2"/>
    <x v="1"/>
    <n v="7184"/>
  </r>
  <r>
    <x v="5"/>
    <x v="0"/>
    <n v="7214"/>
  </r>
  <r>
    <x v="3"/>
    <x v="2"/>
    <n v="7229"/>
  </r>
  <r>
    <x v="0"/>
    <x v="0"/>
    <n v="7238"/>
  </r>
  <r>
    <x v="1"/>
    <x v="0"/>
    <n v="7238"/>
  </r>
  <r>
    <x v="5"/>
    <x v="1"/>
    <n v="7249"/>
  </r>
  <r>
    <x v="4"/>
    <x v="1"/>
    <n v="7279"/>
  </r>
  <r>
    <x v="1"/>
    <x v="3"/>
    <n v="7279"/>
  </r>
  <r>
    <x v="1"/>
    <x v="0"/>
    <n v="7299"/>
  </r>
  <r>
    <x v="1"/>
    <x v="1"/>
    <n v="7320"/>
  </r>
  <r>
    <x v="5"/>
    <x v="3"/>
    <n v="7326"/>
  </r>
  <r>
    <x v="2"/>
    <x v="0"/>
    <n v="7328"/>
  </r>
  <r>
    <x v="3"/>
    <x v="1"/>
    <n v="7338"/>
  </r>
  <r>
    <x v="4"/>
    <x v="0"/>
    <n v="7346"/>
  </r>
  <r>
    <x v="2"/>
    <x v="0"/>
    <n v="7373"/>
  </r>
  <r>
    <x v="3"/>
    <x v="0"/>
    <n v="7386"/>
  </r>
  <r>
    <x v="5"/>
    <x v="1"/>
    <n v="7415"/>
  </r>
  <r>
    <x v="3"/>
    <x v="0"/>
    <n v="7430"/>
  </r>
  <r>
    <x v="1"/>
    <x v="0"/>
    <n v="7486"/>
  </r>
  <r>
    <x v="1"/>
    <x v="0"/>
    <n v="7511"/>
  </r>
  <r>
    <x v="4"/>
    <x v="0"/>
    <n v="7634"/>
  </r>
  <r>
    <x v="1"/>
    <x v="1"/>
    <n v="7662"/>
  </r>
  <r>
    <x v="3"/>
    <x v="2"/>
    <n v="7698"/>
  </r>
  <r>
    <x v="1"/>
    <x v="0"/>
    <n v="7798"/>
  </r>
  <r>
    <x v="5"/>
    <x v="2"/>
    <n v="7821"/>
  </r>
  <r>
    <x v="5"/>
    <x v="2"/>
    <n v="7852"/>
  </r>
  <r>
    <x v="5"/>
    <x v="2"/>
    <n v="7867"/>
  </r>
  <r>
    <x v="4"/>
    <x v="1"/>
    <n v="7875"/>
  </r>
  <r>
    <x v="5"/>
    <x v="0"/>
    <n v="7884"/>
  </r>
  <r>
    <x v="1"/>
    <x v="1"/>
    <n v="7901"/>
  </r>
  <r>
    <x v="1"/>
    <x v="1"/>
    <n v="7903"/>
  </r>
  <r>
    <x v="4"/>
    <x v="1"/>
    <n v="7905"/>
  </r>
  <r>
    <x v="5"/>
    <x v="2"/>
    <n v="7912"/>
  </r>
  <r>
    <x v="5"/>
    <x v="1"/>
    <n v="7958"/>
  </r>
  <r>
    <x v="6"/>
    <x v="1"/>
    <n v="7997"/>
  </r>
  <r>
    <x v="3"/>
    <x v="1"/>
    <n v="8007"/>
  </r>
  <r>
    <x v="4"/>
    <x v="1"/>
    <n v="8010"/>
  </r>
  <r>
    <x v="4"/>
    <x v="1"/>
    <n v="8029"/>
  </r>
  <r>
    <x v="3"/>
    <x v="1"/>
    <n v="8034"/>
  </r>
  <r>
    <x v="4"/>
    <x v="1"/>
    <n v="8044"/>
  </r>
  <r>
    <x v="6"/>
    <x v="1"/>
    <n v="8058"/>
  </r>
  <r>
    <x v="5"/>
    <x v="2"/>
    <n v="8153"/>
  </r>
  <r>
    <x v="2"/>
    <x v="0"/>
    <n v="8165"/>
  </r>
  <r>
    <x v="3"/>
    <x v="2"/>
    <n v="8261"/>
  </r>
  <r>
    <x v="4"/>
    <x v="1"/>
    <n v="8265"/>
  </r>
  <r>
    <x v="4"/>
    <x v="2"/>
    <n v="8364"/>
  </r>
  <r>
    <x v="3"/>
    <x v="0"/>
    <n v="8376"/>
  </r>
  <r>
    <x v="5"/>
    <x v="2"/>
    <n v="8380"/>
  </r>
  <r>
    <x v="4"/>
    <x v="1"/>
    <n v="8443"/>
  </r>
  <r>
    <x v="4"/>
    <x v="1"/>
    <n v="8502"/>
  </r>
  <r>
    <x v="4"/>
    <x v="2"/>
    <n v="8530"/>
  </r>
  <r>
    <x v="1"/>
    <x v="2"/>
    <n v="8533"/>
  </r>
  <r>
    <x v="4"/>
    <x v="2"/>
    <n v="8535"/>
  </r>
  <r>
    <x v="3"/>
    <x v="2"/>
    <n v="8550"/>
  </r>
  <r>
    <x v="5"/>
    <x v="1"/>
    <n v="8588"/>
  </r>
  <r>
    <x v="3"/>
    <x v="0"/>
    <n v="8599"/>
  </r>
  <r>
    <x v="3"/>
    <x v="2"/>
    <n v="8641"/>
  </r>
  <r>
    <x v="2"/>
    <x v="1"/>
    <n v="8653"/>
  </r>
  <r>
    <x v="4"/>
    <x v="1"/>
    <n v="8809"/>
  </r>
  <r>
    <x v="3"/>
    <x v="2"/>
    <n v="8834"/>
  </r>
  <r>
    <x v="4"/>
    <x v="1"/>
    <n v="8841"/>
  </r>
  <r>
    <x v="2"/>
    <x v="0"/>
    <n v="8937"/>
  </r>
  <r>
    <x v="2"/>
    <x v="2"/>
    <n v="8967"/>
  </r>
  <r>
    <x v="4"/>
    <x v="0"/>
    <n v="8969"/>
  </r>
  <r>
    <x v="3"/>
    <x v="0"/>
    <n v="8979"/>
  </r>
  <r>
    <x v="3"/>
    <x v="1"/>
    <n v="8997"/>
  </r>
  <r>
    <x v="4"/>
    <x v="1"/>
    <n v="9013"/>
  </r>
  <r>
    <x v="6"/>
    <x v="3"/>
    <n v="9019"/>
  </r>
  <r>
    <x v="2"/>
    <x v="0"/>
    <n v="9036"/>
  </r>
  <r>
    <x v="2"/>
    <x v="2"/>
    <n v="9059"/>
  </r>
  <r>
    <x v="4"/>
    <x v="3"/>
    <n v="9080"/>
  </r>
  <r>
    <x v="4"/>
    <x v="2"/>
    <n v="9093"/>
  </r>
  <r>
    <x v="1"/>
    <x v="3"/>
    <n v="9093"/>
  </r>
  <r>
    <x v="6"/>
    <x v="0"/>
    <n v="9095"/>
  </r>
  <r>
    <x v="4"/>
    <x v="3"/>
    <n v="9099"/>
  </r>
  <r>
    <x v="1"/>
    <x v="3"/>
    <n v="9125"/>
  </r>
  <r>
    <x v="4"/>
    <x v="3"/>
    <n v="9170"/>
  </r>
  <r>
    <x v="5"/>
    <x v="0"/>
    <n v="9182"/>
  </r>
  <r>
    <x v="1"/>
    <x v="3"/>
    <n v="9186"/>
  </r>
  <r>
    <x v="1"/>
    <x v="1"/>
    <n v="9187"/>
  </r>
  <r>
    <x v="2"/>
    <x v="2"/>
    <n v="9204"/>
  </r>
  <r>
    <x v="3"/>
    <x v="2"/>
    <n v="9205"/>
  </r>
  <r>
    <x v="2"/>
    <x v="0"/>
    <n v="9216"/>
  </r>
  <r>
    <x v="4"/>
    <x v="1"/>
    <n v="9293"/>
  </r>
  <r>
    <x v="1"/>
    <x v="2"/>
    <n v="9300"/>
  </r>
  <r>
    <x v="4"/>
    <x v="2"/>
    <n v="9303"/>
  </r>
  <r>
    <x v="2"/>
    <x v="2"/>
    <n v="9424"/>
  </r>
  <r>
    <x v="5"/>
    <x v="0"/>
    <n v="9459"/>
  </r>
  <r>
    <x v="1"/>
    <x v="2"/>
    <n v="9471"/>
  </r>
  <r>
    <x v="3"/>
    <x v="1"/>
    <n v="9592"/>
  </r>
  <r>
    <x v="2"/>
    <x v="0"/>
    <n v="9612"/>
  </r>
  <r>
    <x v="3"/>
    <x v="0"/>
    <n v="9671"/>
  </r>
  <r>
    <x v="2"/>
    <x v="0"/>
    <n v="9694"/>
  </r>
  <r>
    <x v="4"/>
    <x v="0"/>
    <n v="9715"/>
  </r>
  <r>
    <x v="2"/>
    <x v="2"/>
    <n v="9729"/>
  </r>
  <r>
    <x v="4"/>
    <x v="0"/>
    <n v="9794"/>
  </r>
  <r>
    <x v="4"/>
    <x v="0"/>
    <n v="9865"/>
  </r>
  <r>
    <x v="3"/>
    <x v="0"/>
    <n v="9940"/>
  </r>
  <r>
    <x v="5"/>
    <x v="2"/>
    <n v="9974"/>
  </r>
  <r>
    <x v="4"/>
    <x v="1"/>
    <n v="9975"/>
  </r>
  <r>
    <x v="3"/>
    <x v="2"/>
    <n v="10032"/>
  </r>
  <r>
    <x v="4"/>
    <x v="3"/>
    <n v="10053"/>
  </r>
  <r>
    <x v="4"/>
    <x v="2"/>
    <n v="10056"/>
  </r>
  <r>
    <x v="4"/>
    <x v="3"/>
    <n v="10068"/>
  </r>
  <r>
    <x v="2"/>
    <x v="3"/>
    <n v="10084"/>
  </r>
  <r>
    <x v="4"/>
    <x v="3"/>
    <n v="10090"/>
  </r>
  <r>
    <x v="4"/>
    <x v="2"/>
    <n v="10098"/>
  </r>
  <r>
    <x v="4"/>
    <x v="0"/>
    <n v="10119"/>
  </r>
  <r>
    <x v="5"/>
    <x v="1"/>
    <n v="10123"/>
  </r>
  <r>
    <x v="5"/>
    <x v="1"/>
    <n v="10140"/>
  </r>
  <r>
    <x v="3"/>
    <x v="0"/>
    <n v="10159"/>
  </r>
  <r>
    <x v="3"/>
    <x v="0"/>
    <n v="10160"/>
  </r>
  <r>
    <x v="5"/>
    <x v="1"/>
    <n v="10175"/>
  </r>
  <r>
    <x v="4"/>
    <x v="1"/>
    <n v="10179"/>
  </r>
  <r>
    <x v="2"/>
    <x v="2"/>
    <n v="10201"/>
  </r>
  <r>
    <x v="4"/>
    <x v="1"/>
    <n v="10202"/>
  </r>
  <r>
    <x v="5"/>
    <x v="2"/>
    <n v="10216"/>
  </r>
  <r>
    <x v="6"/>
    <x v="0"/>
    <n v="10225"/>
  </r>
  <r>
    <x v="5"/>
    <x v="2"/>
    <n v="10225"/>
  </r>
  <r>
    <x v="3"/>
    <x v="1"/>
    <n v="10233"/>
  </r>
  <r>
    <x v="5"/>
    <x v="1"/>
    <n v="10238"/>
  </r>
  <r>
    <x v="4"/>
    <x v="0"/>
    <n v="10261"/>
  </r>
  <r>
    <x v="4"/>
    <x v="0"/>
    <n v="10354"/>
  </r>
  <r>
    <x v="5"/>
    <x v="1"/>
    <n v="10356"/>
  </r>
  <r>
    <x v="3"/>
    <x v="2"/>
    <n v="10360"/>
  </r>
  <r>
    <x v="4"/>
    <x v="0"/>
    <n v="10362"/>
  </r>
  <r>
    <x v="4"/>
    <x v="0"/>
    <n v="10367"/>
  </r>
  <r>
    <x v="5"/>
    <x v="0"/>
    <n v="10375"/>
  </r>
  <r>
    <x v="2"/>
    <x v="2"/>
    <n v="10417"/>
  </r>
  <r>
    <x v="6"/>
    <x v="0"/>
    <n v="10431"/>
  </r>
  <r>
    <x v="4"/>
    <x v="2"/>
    <n v="10436"/>
  </r>
  <r>
    <x v="1"/>
    <x v="1"/>
    <n v="10454"/>
  </r>
  <r>
    <x v="3"/>
    <x v="2"/>
    <n v="10522"/>
  </r>
  <r>
    <x v="4"/>
    <x v="2"/>
    <n v="10526"/>
  </r>
  <r>
    <x v="2"/>
    <x v="1"/>
    <n v="10527"/>
  </r>
  <r>
    <x v="5"/>
    <x v="0"/>
    <n v="10555"/>
  </r>
  <r>
    <x v="4"/>
    <x v="0"/>
    <n v="10599"/>
  </r>
  <r>
    <x v="5"/>
    <x v="1"/>
    <n v="10633"/>
  </r>
  <r>
    <x v="5"/>
    <x v="1"/>
    <n v="10687"/>
  </r>
  <r>
    <x v="3"/>
    <x v="2"/>
    <n v="10826"/>
  </r>
  <r>
    <x v="6"/>
    <x v="2"/>
    <n v="10851"/>
  </r>
  <r>
    <x v="5"/>
    <x v="2"/>
    <n v="10858"/>
  </r>
  <r>
    <x v="4"/>
    <x v="1"/>
    <n v="10904"/>
  </r>
  <r>
    <x v="3"/>
    <x v="0"/>
    <n v="10980"/>
  </r>
  <r>
    <x v="3"/>
    <x v="2"/>
    <n v="11007"/>
  </r>
  <r>
    <x v="1"/>
    <x v="2"/>
    <n v="11017"/>
  </r>
  <r>
    <x v="3"/>
    <x v="2"/>
    <n v="11023"/>
  </r>
  <r>
    <x v="5"/>
    <x v="2"/>
    <n v="11206"/>
  </r>
  <r>
    <x v="0"/>
    <x v="2"/>
    <n v="11220"/>
  </r>
  <r>
    <x v="1"/>
    <x v="1"/>
    <n v="11229"/>
  </r>
  <r>
    <x v="5"/>
    <x v="0"/>
    <n v="11234"/>
  </r>
  <r>
    <x v="2"/>
    <x v="1"/>
    <n v="11254"/>
  </r>
  <r>
    <x v="1"/>
    <x v="1"/>
    <n v="11426"/>
  </r>
  <r>
    <x v="1"/>
    <x v="0"/>
    <n v="11447"/>
  </r>
  <r>
    <x v="4"/>
    <x v="0"/>
    <n v="11465"/>
  </r>
  <r>
    <x v="0"/>
    <x v="2"/>
    <n v="11561"/>
  </r>
  <r>
    <x v="1"/>
    <x v="0"/>
    <n v="11585"/>
  </r>
  <r>
    <x v="4"/>
    <x v="2"/>
    <n v="11595"/>
  </r>
  <r>
    <x v="3"/>
    <x v="2"/>
    <n v="11610"/>
  </r>
  <r>
    <x v="6"/>
    <x v="2"/>
    <n v="11685"/>
  </r>
  <r>
    <x v="2"/>
    <x v="0"/>
    <n v="11716"/>
  </r>
  <r>
    <x v="0"/>
    <x v="1"/>
    <n v="11739"/>
  </r>
  <r>
    <x v="1"/>
    <x v="0"/>
    <n v="11759"/>
  </r>
  <r>
    <x v="4"/>
    <x v="2"/>
    <n v="11806"/>
  </r>
  <r>
    <x v="1"/>
    <x v="1"/>
    <n v="11808"/>
  </r>
  <r>
    <x v="5"/>
    <x v="1"/>
    <n v="11817"/>
  </r>
  <r>
    <x v="1"/>
    <x v="0"/>
    <n v="11833"/>
  </r>
  <r>
    <x v="4"/>
    <x v="1"/>
    <n v="11838"/>
  </r>
  <r>
    <x v="4"/>
    <x v="2"/>
    <n v="11875"/>
  </r>
  <r>
    <x v="1"/>
    <x v="2"/>
    <n v="11891"/>
  </r>
  <r>
    <x v="2"/>
    <x v="2"/>
    <n v="11965"/>
  </r>
  <r>
    <x v="2"/>
    <x v="2"/>
    <n v="11966"/>
  </r>
  <r>
    <x v="4"/>
    <x v="1"/>
    <n v="11977"/>
  </r>
  <r>
    <x v="2"/>
    <x v="2"/>
    <n v="11997"/>
  </r>
  <r>
    <x v="1"/>
    <x v="2"/>
    <n v="12008"/>
  </r>
  <r>
    <x v="4"/>
    <x v="2"/>
    <n v="12017"/>
  </r>
  <r>
    <x v="5"/>
    <x v="2"/>
    <n v="12017"/>
  </r>
  <r>
    <x v="5"/>
    <x v="2"/>
    <n v="12018"/>
  </r>
  <r>
    <x v="3"/>
    <x v="1"/>
    <n v="12020"/>
  </r>
  <r>
    <x v="4"/>
    <x v="0"/>
    <n v="12028"/>
  </r>
  <r>
    <x v="4"/>
    <x v="2"/>
    <n v="12039"/>
  </r>
  <r>
    <x v="4"/>
    <x v="0"/>
    <n v="12045"/>
  </r>
  <r>
    <x v="5"/>
    <x v="2"/>
    <n v="12047"/>
  </r>
  <r>
    <x v="1"/>
    <x v="2"/>
    <n v="12057"/>
  </r>
  <r>
    <x v="5"/>
    <x v="2"/>
    <n v="12064"/>
  </r>
  <r>
    <x v="5"/>
    <x v="2"/>
    <n v="12073"/>
  </r>
  <r>
    <x v="2"/>
    <x v="0"/>
    <n v="12081"/>
  </r>
  <r>
    <x v="7"/>
    <x v="1"/>
    <n v="12091"/>
  </r>
  <r>
    <x v="3"/>
    <x v="0"/>
    <n v="12094"/>
  </r>
  <r>
    <x v="4"/>
    <x v="2"/>
    <n v="12095"/>
  </r>
  <r>
    <x v="4"/>
    <x v="2"/>
    <n v="12098"/>
  </r>
  <r>
    <x v="2"/>
    <x v="2"/>
    <n v="12185"/>
  </r>
  <r>
    <x v="3"/>
    <x v="2"/>
    <n v="12195"/>
  </r>
  <r>
    <x v="5"/>
    <x v="0"/>
    <n v="12204"/>
  </r>
  <r>
    <x v="4"/>
    <x v="0"/>
    <n v="12215"/>
  </r>
  <r>
    <x v="2"/>
    <x v="1"/>
    <n v="12257"/>
  </r>
  <r>
    <x v="4"/>
    <x v="2"/>
    <n v="12266"/>
  </r>
  <r>
    <x v="1"/>
    <x v="2"/>
    <n v="12306"/>
  </r>
  <r>
    <x v="3"/>
    <x v="1"/>
    <n v="12318"/>
  </r>
  <r>
    <x v="2"/>
    <x v="2"/>
    <n v="12352"/>
  </r>
  <r>
    <x v="4"/>
    <x v="1"/>
    <n v="12411"/>
  </r>
  <r>
    <x v="2"/>
    <x v="3"/>
    <n v="12474"/>
  </r>
  <r>
    <x v="4"/>
    <x v="0"/>
    <n v="12483"/>
  </r>
  <r>
    <x v="1"/>
    <x v="0"/>
    <n v="12498"/>
  </r>
  <r>
    <x v="2"/>
    <x v="3"/>
    <n v="12501"/>
  </r>
  <r>
    <x v="4"/>
    <x v="2"/>
    <n v="12507"/>
  </r>
  <r>
    <x v="5"/>
    <x v="2"/>
    <n v="12507"/>
  </r>
  <r>
    <x v="2"/>
    <x v="0"/>
    <n v="12511"/>
  </r>
  <r>
    <x v="4"/>
    <x v="2"/>
    <n v="12535"/>
  </r>
  <r>
    <x v="5"/>
    <x v="3"/>
    <n v="12541"/>
  </r>
  <r>
    <x v="4"/>
    <x v="2"/>
    <n v="12545"/>
  </r>
  <r>
    <x v="5"/>
    <x v="2"/>
    <n v="12551"/>
  </r>
  <r>
    <x v="2"/>
    <x v="3"/>
    <n v="12553"/>
  </r>
  <r>
    <x v="5"/>
    <x v="2"/>
    <n v="12556"/>
  </r>
  <r>
    <x v="4"/>
    <x v="2"/>
    <n v="12572"/>
  </r>
  <r>
    <x v="4"/>
    <x v="0"/>
    <n v="12582"/>
  </r>
  <r>
    <x v="1"/>
    <x v="2"/>
    <n v="12587"/>
  </r>
  <r>
    <x v="4"/>
    <x v="2"/>
    <n v="12598"/>
  </r>
  <r>
    <x v="1"/>
    <x v="2"/>
    <n v="12610"/>
  </r>
  <r>
    <x v="5"/>
    <x v="1"/>
    <n v="12615"/>
  </r>
  <r>
    <x v="3"/>
    <x v="0"/>
    <n v="12677"/>
  </r>
  <r>
    <x v="5"/>
    <x v="1"/>
    <n v="12689"/>
  </r>
  <r>
    <x v="3"/>
    <x v="0"/>
    <n v="12723"/>
  </r>
  <r>
    <x v="5"/>
    <x v="0"/>
    <n v="12732"/>
  </r>
  <r>
    <x v="3"/>
    <x v="0"/>
    <n v="12754"/>
  </r>
  <r>
    <x v="3"/>
    <x v="0"/>
    <n v="12761"/>
  </r>
  <r>
    <x v="4"/>
    <x v="0"/>
    <n v="12767"/>
  </r>
  <r>
    <x v="3"/>
    <x v="2"/>
    <n v="12800"/>
  </r>
  <r>
    <x v="5"/>
    <x v="0"/>
    <n v="12825"/>
  </r>
  <r>
    <x v="2"/>
    <x v="2"/>
    <n v="12834"/>
  </r>
  <r>
    <x v="4"/>
    <x v="0"/>
    <n v="12843"/>
  </r>
  <r>
    <x v="4"/>
    <x v="0"/>
    <n v="12886"/>
  </r>
  <r>
    <x v="5"/>
    <x v="0"/>
    <n v="12921"/>
  </r>
  <r>
    <x v="2"/>
    <x v="1"/>
    <n v="12932"/>
  </r>
  <r>
    <x v="4"/>
    <x v="2"/>
    <n v="12944"/>
  </r>
  <r>
    <x v="3"/>
    <x v="0"/>
    <n v="12965"/>
  </r>
  <r>
    <x v="1"/>
    <x v="2"/>
    <n v="13001"/>
  </r>
  <r>
    <x v="1"/>
    <x v="2"/>
    <n v="13012"/>
  </r>
  <r>
    <x v="3"/>
    <x v="1"/>
    <n v="13023"/>
  </r>
  <r>
    <x v="6"/>
    <x v="2"/>
    <n v="13023"/>
  </r>
  <r>
    <x v="5"/>
    <x v="0"/>
    <n v="13031"/>
  </r>
  <r>
    <x v="0"/>
    <x v="2"/>
    <n v="13038"/>
  </r>
  <r>
    <x v="4"/>
    <x v="1"/>
    <n v="13044"/>
  </r>
  <r>
    <x v="1"/>
    <x v="2"/>
    <n v="13044"/>
  </r>
  <r>
    <x v="5"/>
    <x v="2"/>
    <n v="13058"/>
  </r>
  <r>
    <x v="2"/>
    <x v="2"/>
    <n v="13067"/>
  </r>
  <r>
    <x v="4"/>
    <x v="2"/>
    <n v="13068"/>
  </r>
  <r>
    <x v="4"/>
    <x v="2"/>
    <n v="13069"/>
  </r>
  <r>
    <x v="2"/>
    <x v="2"/>
    <n v="13070"/>
  </r>
  <r>
    <x v="2"/>
    <x v="0"/>
    <n v="13093"/>
  </r>
  <r>
    <x v="5"/>
    <x v="2"/>
    <n v="13094"/>
  </r>
  <r>
    <x v="4"/>
    <x v="2"/>
    <n v="13140"/>
  </r>
  <r>
    <x v="5"/>
    <x v="2"/>
    <n v="13151"/>
  </r>
  <r>
    <x v="3"/>
    <x v="1"/>
    <n v="13181"/>
  </r>
  <r>
    <x v="6"/>
    <x v="2"/>
    <n v="13194"/>
  </r>
  <r>
    <x v="2"/>
    <x v="2"/>
    <n v="13208"/>
  </r>
  <r>
    <x v="3"/>
    <x v="0"/>
    <n v="13218"/>
  </r>
  <r>
    <x v="7"/>
    <x v="1"/>
    <n v="13405"/>
  </r>
  <r>
    <x v="4"/>
    <x v="2"/>
    <n v="13443"/>
  </r>
  <r>
    <x v="5"/>
    <x v="2"/>
    <n v="13476"/>
  </r>
  <r>
    <x v="4"/>
    <x v="0"/>
    <n v="13496"/>
  </r>
  <r>
    <x v="5"/>
    <x v="1"/>
    <n v="13529"/>
  </r>
  <r>
    <x v="3"/>
    <x v="2"/>
    <n v="13532"/>
  </r>
  <r>
    <x v="4"/>
    <x v="2"/>
    <n v="13536"/>
  </r>
  <r>
    <x v="5"/>
    <x v="1"/>
    <n v="13546"/>
  </r>
  <r>
    <x v="4"/>
    <x v="2"/>
    <n v="13554"/>
  </r>
  <r>
    <x v="4"/>
    <x v="2"/>
    <n v="13573"/>
  </r>
  <r>
    <x v="4"/>
    <x v="2"/>
    <n v="13574"/>
  </r>
  <r>
    <x v="4"/>
    <x v="2"/>
    <n v="13574"/>
  </r>
  <r>
    <x v="5"/>
    <x v="2"/>
    <n v="13577"/>
  </r>
  <r>
    <x v="4"/>
    <x v="2"/>
    <n v="13598"/>
  </r>
  <r>
    <x v="5"/>
    <x v="2"/>
    <n v="13603"/>
  </r>
  <r>
    <x v="1"/>
    <x v="2"/>
    <n v="13604"/>
  </r>
  <r>
    <x v="5"/>
    <x v="2"/>
    <n v="13604"/>
  </r>
  <r>
    <x v="1"/>
    <x v="2"/>
    <n v="13613"/>
  </r>
  <r>
    <x v="3"/>
    <x v="2"/>
    <n v="13616"/>
  </r>
  <r>
    <x v="2"/>
    <x v="2"/>
    <n v="13665"/>
  </r>
  <r>
    <x v="3"/>
    <x v="1"/>
    <n v="13674"/>
  </r>
  <r>
    <x v="4"/>
    <x v="1"/>
    <n v="13685"/>
  </r>
  <r>
    <x v="3"/>
    <x v="2"/>
    <n v="13697"/>
  </r>
  <r>
    <x v="5"/>
    <x v="2"/>
    <n v="13704"/>
  </r>
  <r>
    <x v="2"/>
    <x v="1"/>
    <n v="13712"/>
  </r>
  <r>
    <x v="4"/>
    <x v="2"/>
    <n v="13715"/>
  </r>
  <r>
    <x v="5"/>
    <x v="2"/>
    <n v="13726"/>
  </r>
  <r>
    <x v="3"/>
    <x v="0"/>
    <n v="13842"/>
  </r>
  <r>
    <x v="5"/>
    <x v="0"/>
    <n v="13903"/>
  </r>
  <r>
    <x v="3"/>
    <x v="1"/>
    <n v="13904"/>
  </r>
  <r>
    <x v="2"/>
    <x v="2"/>
    <n v="13936"/>
  </r>
  <r>
    <x v="5"/>
    <x v="2"/>
    <n v="13938"/>
  </r>
  <r>
    <x v="5"/>
    <x v="2"/>
    <n v="13975"/>
  </r>
  <r>
    <x v="1"/>
    <x v="2"/>
    <n v="14001"/>
  </r>
  <r>
    <x v="4"/>
    <x v="1"/>
    <n v="14018"/>
  </r>
  <r>
    <x v="4"/>
    <x v="2"/>
    <n v="14111"/>
  </r>
  <r>
    <x v="1"/>
    <x v="2"/>
    <n v="14183"/>
  </r>
  <r>
    <x v="4"/>
    <x v="0"/>
    <n v="14251"/>
  </r>
  <r>
    <x v="1"/>
    <x v="2"/>
    <n v="14260"/>
  </r>
  <r>
    <x v="1"/>
    <x v="0"/>
    <n v="14325"/>
  </r>
  <r>
    <x v="2"/>
    <x v="0"/>
    <n v="14361"/>
  </r>
  <r>
    <x v="2"/>
    <x v="0"/>
    <n v="14475"/>
  </r>
  <r>
    <x v="4"/>
    <x v="0"/>
    <n v="14522"/>
  </r>
  <r>
    <x v="2"/>
    <x v="0"/>
    <n v="14526"/>
  </r>
  <r>
    <x v="3"/>
    <x v="1"/>
    <n v="14571"/>
  </r>
  <r>
    <x v="2"/>
    <x v="1"/>
    <n v="14582"/>
  </r>
  <r>
    <x v="4"/>
    <x v="2"/>
    <n v="14591"/>
  </r>
  <r>
    <x v="4"/>
    <x v="2"/>
    <n v="14601"/>
  </r>
  <r>
    <x v="3"/>
    <x v="2"/>
    <n v="14613"/>
  </r>
  <r>
    <x v="0"/>
    <x v="1"/>
    <n v="14613"/>
  </r>
  <r>
    <x v="5"/>
    <x v="2"/>
    <n v="14624"/>
  </r>
  <r>
    <x v="3"/>
    <x v="1"/>
    <n v="14648"/>
  </r>
  <r>
    <x v="2"/>
    <x v="2"/>
    <n v="14659"/>
  </r>
  <r>
    <x v="0"/>
    <x v="2"/>
    <n v="14678"/>
  </r>
  <r>
    <x v="5"/>
    <x v="0"/>
    <n v="14721"/>
  </r>
  <r>
    <x v="2"/>
    <x v="2"/>
    <n v="14732"/>
  </r>
  <r>
    <x v="2"/>
    <x v="1"/>
    <n v="14738"/>
  </r>
  <r>
    <x v="5"/>
    <x v="2"/>
    <n v="14739"/>
  </r>
  <r>
    <x v="1"/>
    <x v="0"/>
    <n v="14748"/>
  </r>
  <r>
    <x v="1"/>
    <x v="0"/>
    <n v="14756"/>
  </r>
  <r>
    <x v="4"/>
    <x v="2"/>
    <n v="14761"/>
  </r>
  <r>
    <x v="2"/>
    <x v="0"/>
    <n v="14812"/>
  </r>
  <r>
    <x v="4"/>
    <x v="1"/>
    <n v="14817"/>
  </r>
  <r>
    <x v="5"/>
    <x v="0"/>
    <n v="14825"/>
  </r>
  <r>
    <x v="3"/>
    <x v="1"/>
    <n v="14853"/>
  </r>
  <r>
    <x v="4"/>
    <x v="2"/>
    <n v="14860"/>
  </r>
  <r>
    <x v="4"/>
    <x v="1"/>
    <n v="14890"/>
  </r>
  <r>
    <x v="1"/>
    <x v="1"/>
    <n v="14910"/>
  </r>
  <r>
    <x v="2"/>
    <x v="0"/>
    <n v="14944"/>
  </r>
  <r>
    <x v="7"/>
    <x v="0"/>
    <n v="14987"/>
  </r>
  <r>
    <x v="6"/>
    <x v="2"/>
    <n v="15004"/>
  </r>
  <r>
    <x v="1"/>
    <x v="2"/>
    <n v="15005"/>
  </r>
  <r>
    <x v="2"/>
    <x v="2"/>
    <n v="15028"/>
  </r>
  <r>
    <x v="4"/>
    <x v="2"/>
    <n v="15061"/>
  </r>
  <r>
    <x v="3"/>
    <x v="2"/>
    <n v="15221"/>
  </r>
  <r>
    <x v="3"/>
    <x v="2"/>
    <n v="15264"/>
  </r>
  <r>
    <x v="4"/>
    <x v="2"/>
    <n v="15264"/>
  </r>
  <r>
    <x v="3"/>
    <x v="2"/>
    <n v="15289"/>
  </r>
  <r>
    <x v="0"/>
    <x v="2"/>
    <n v="15301"/>
  </r>
  <r>
    <x v="5"/>
    <x v="1"/>
    <n v="15305"/>
  </r>
  <r>
    <x v="4"/>
    <x v="2"/>
    <n v="15765"/>
  </r>
  <r>
    <x v="4"/>
    <x v="2"/>
    <n v="15783"/>
  </r>
  <r>
    <x v="3"/>
    <x v="2"/>
    <n v="15826"/>
  </r>
  <r>
    <x v="3"/>
    <x v="1"/>
    <n v="15989"/>
  </r>
  <r>
    <x v="2"/>
    <x v="2"/>
    <n v="16016"/>
  </r>
  <r>
    <x v="5"/>
    <x v="2"/>
    <n v="16039"/>
  </r>
  <r>
    <x v="1"/>
    <x v="2"/>
    <n v="16084"/>
  </r>
  <r>
    <x v="6"/>
    <x v="2"/>
    <n v="16094"/>
  </r>
  <r>
    <x v="6"/>
    <x v="2"/>
    <n v="17012"/>
  </r>
  <r>
    <x v="3"/>
    <x v="2"/>
    <n v="17032"/>
  </r>
  <r>
    <x v="2"/>
    <x v="2"/>
    <n v="17049"/>
  </r>
  <r>
    <x v="4"/>
    <x v="2"/>
    <n v="17069"/>
  </r>
  <r>
    <x v="4"/>
    <x v="1"/>
    <n v="19080"/>
  </r>
  <r>
    <x v="2"/>
    <x v="1"/>
    <n v="21079"/>
  </r>
  <r>
    <x v="2"/>
    <x v="2"/>
    <n v="25050"/>
  </r>
  <r>
    <x v="5"/>
    <x v="1"/>
    <n v="25088"/>
  </r>
  <r>
    <x v="5"/>
    <x v="1"/>
    <n v="30020"/>
  </r>
  <r>
    <x v="5"/>
    <x v="1"/>
    <n v="32043"/>
  </r>
  <r>
    <x v="3"/>
    <x v="2"/>
    <n v="35010"/>
  </r>
  <r>
    <x v="6"/>
    <x v="2"/>
    <n v="35063"/>
  </r>
  <r>
    <x v="3"/>
    <x v="0"/>
    <n v="35774"/>
  </r>
  <r>
    <x v="1"/>
    <x v="1"/>
    <n v="40692"/>
  </r>
  <r>
    <x v="2"/>
    <x v="2"/>
    <n v="45006"/>
  </r>
  <r>
    <x v="2"/>
    <x v="2"/>
    <n v="45029"/>
  </r>
  <r>
    <x v="5"/>
    <x v="2"/>
    <n v="50011"/>
  </r>
  <r>
    <x v="3"/>
    <x v="1"/>
    <n v="50038"/>
  </r>
  <r>
    <x v="4"/>
    <x v="2"/>
    <n v="50046"/>
  </r>
  <r>
    <x v="5"/>
    <x v="2"/>
    <n v="50052"/>
  </r>
  <r>
    <x v="4"/>
    <x v="2"/>
    <n v="50090"/>
  </r>
  <r>
    <x v="1"/>
    <x v="1"/>
    <n v="65001"/>
  </r>
  <r>
    <x v="3"/>
    <x v="1"/>
    <n v="65014"/>
  </r>
  <r>
    <x v="2"/>
    <x v="2"/>
    <n v="75013"/>
  </r>
  <r>
    <x v="4"/>
    <x v="2"/>
    <n v="75020"/>
  </r>
  <r>
    <x v="1"/>
    <x v="2"/>
    <n v="75032"/>
  </r>
  <r>
    <x v="3"/>
    <x v="2"/>
    <n v="75039"/>
  </r>
  <r>
    <x v="4"/>
    <x v="2"/>
    <n v="75046"/>
  </r>
  <r>
    <x v="4"/>
    <x v="2"/>
    <n v="90007"/>
  </r>
  <r>
    <x v="4"/>
    <x v="2"/>
    <n v="90025"/>
  </r>
  <r>
    <x v="5"/>
    <x v="2"/>
    <n v="900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693E0-D545-4EB1-8E47-0A2B22732DC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G3:H13" firstHeaderRow="2" firstDataRow="2" firstDataCol="1"/>
  <pivotFields count="3">
    <pivotField axis="axisRow" compact="0" outline="0" showAll="0">
      <items count="10">
        <item m="1" x="8"/>
        <item x="6"/>
        <item x="4"/>
        <item x="0"/>
        <item x="1"/>
        <item x="5"/>
        <item x="7"/>
        <item x="2"/>
        <item x="3"/>
        <item t="default"/>
      </items>
    </pivotField>
    <pivotField compact="0" outline="0" showAll="0"/>
    <pivotField dataField="1" compact="0" outline="0" showAll="0"/>
  </pivotFields>
  <rowFields count="1">
    <field x="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 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B5F40-2F12-4219-828B-98378FC99DF0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G3:L13" firstHeaderRow="1" firstDataRow="2" firstDataCol="1"/>
  <pivotFields count="3">
    <pivotField axis="axisRow" compact="0" outline="0" showAll="0">
      <items count="9">
        <item x="6"/>
        <item x="4"/>
        <item x="3"/>
        <item x="0"/>
        <item x="1"/>
        <item x="5"/>
        <item x="7"/>
        <item x="2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dataField="1" compact="0" outline="0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Connectity" connectionId="5" xr16:uid="{DEA753F7-0878-4413-9C3E-6C9E6FBC5394}" autoFormatId="16" applyNumberFormats="0" applyBorderFormats="0" applyFontFormats="0" applyPatternFormats="0" applyAlignmentFormats="0" applyWidthHeightFormats="0">
  <queryTableRefresh nextId="5">
    <queryTableFields count="4">
      <queryTableField id="1" name="Agent" tableColumnId="1"/>
      <queryTableField id="2" name="AcctType" tableColumnId="2"/>
      <queryTableField id="3" name="Month" tableColumnId="3"/>
      <queryTableField id="4" name="Year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2E47D0A-0D03-4E00-B7BB-C65A413F0B7A}" autoFormatId="16" applyNumberFormats="0" applyBorderFormats="0" applyFontFormats="0" applyPatternFormats="0" applyAlignmentFormats="0" applyWidthHeightFormats="0">
  <queryTableRefresh nextId="5">
    <queryTableFields count="4">
      <queryTableField id="1" name="Agent" tableColumnId="1"/>
      <queryTableField id="2" name="AcctType" tableColumnId="2"/>
      <queryTableField id="3" name="Month" tableColumnId="3"/>
      <queryTableField id="4" name="Year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887ABED-6BCC-48C6-9701-B6C500863BA1}" autoFormatId="16" applyNumberFormats="0" applyBorderFormats="0" applyFontFormats="0" applyPatternFormats="0" applyAlignmentFormats="0" applyWidthHeightFormats="0">
  <queryTableRefresh nextId="6">
    <queryTableFields count="5">
      <queryTableField id="1" name="Agent" tableColumnId="1"/>
      <queryTableField id="2" name="CD" tableColumnId="2"/>
      <queryTableField id="3" name="IRA" tableColumnId="3"/>
      <queryTableField id="4" name="Savings" tableColumnId="4"/>
      <queryTableField id="5" name="Checking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179B19A-FA32-4720-B87A-48BE49D6B24F}" autoFormatId="16" applyNumberFormats="0" applyBorderFormats="0" applyFontFormats="0" applyPatternFormats="0" applyAlignmentFormats="0" applyWidthHeightFormats="0">
  <queryTableRefresh nextId="5">
    <queryTableFields count="4">
      <queryTableField id="1" name="Agent" tableColumnId="1"/>
      <queryTableField id="2" name="Accttype" tableColumnId="2"/>
      <queryTableField id="3" name="Actual" tableColumnId="3"/>
      <queryTableField id="4" name="Target" tableColumnId="4"/>
    </queryTableFields>
  </queryTableRefresh>
</queryTable>
</file>

<file path=xl/richData/_rels/rdRichValueWebImage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com"/><Relationship Id="rId13" Type="http://schemas.openxmlformats.org/officeDocument/2006/relationships/hyperlink" Target="https://logo.clearbit.com/TCS.com" TargetMode="External"/><Relationship Id="rId18" Type="http://schemas.openxmlformats.org/officeDocument/2006/relationships/image" Target="../media/image9.com"/><Relationship Id="rId3" Type="http://schemas.openxmlformats.org/officeDocument/2006/relationships/hyperlink" Target="https://logo.clearbit.com/Microsoft.com" TargetMode="External"/><Relationship Id="rId21" Type="http://schemas.openxmlformats.org/officeDocument/2006/relationships/hyperlink" Target="https://logo.clearbit.com/PWC.com" TargetMode="External"/><Relationship Id="rId7" Type="http://schemas.openxmlformats.org/officeDocument/2006/relationships/hyperlink" Target="https://logo.clearbit.com/Twitter.com" TargetMode="External"/><Relationship Id="rId12" Type="http://schemas.openxmlformats.org/officeDocument/2006/relationships/image" Target="../media/image6.com"/><Relationship Id="rId17" Type="http://schemas.openxmlformats.org/officeDocument/2006/relationships/hyperlink" Target="https://logo.clearbit.com/HCL.com" TargetMode="External"/><Relationship Id="rId2" Type="http://schemas.openxmlformats.org/officeDocument/2006/relationships/image" Target="../media/image1.com"/><Relationship Id="rId16" Type="http://schemas.openxmlformats.org/officeDocument/2006/relationships/image" Target="../media/image8.com"/><Relationship Id="rId20" Type="http://schemas.openxmlformats.org/officeDocument/2006/relationships/image" Target="../media/image10.com"/><Relationship Id="rId1" Type="http://schemas.openxmlformats.org/officeDocument/2006/relationships/hyperlink" Target="https://logo.clearbit.com/Apple.com" TargetMode="External"/><Relationship Id="rId6" Type="http://schemas.openxmlformats.org/officeDocument/2006/relationships/image" Target="../media/image3.com"/><Relationship Id="rId11" Type="http://schemas.openxmlformats.org/officeDocument/2006/relationships/hyperlink" Target="https://logo.clearbit.com/Instagram.com" TargetMode="External"/><Relationship Id="rId5" Type="http://schemas.openxmlformats.org/officeDocument/2006/relationships/hyperlink" Target="https://logo.clearbit.com/Google.com" TargetMode="External"/><Relationship Id="rId15" Type="http://schemas.openxmlformats.org/officeDocument/2006/relationships/hyperlink" Target="https://logo.clearbit.com/KPMG.com" TargetMode="External"/><Relationship Id="rId10" Type="http://schemas.openxmlformats.org/officeDocument/2006/relationships/image" Target="../media/image5.com"/><Relationship Id="rId19" Type="http://schemas.openxmlformats.org/officeDocument/2006/relationships/hyperlink" Target="https://logo.clearbit.com/IBM.com" TargetMode="External"/><Relationship Id="rId4" Type="http://schemas.openxmlformats.org/officeDocument/2006/relationships/image" Target="../media/image2.com"/><Relationship Id="rId9" Type="http://schemas.openxmlformats.org/officeDocument/2006/relationships/hyperlink" Target="https://logo.clearbit.com/Wipro.com" TargetMode="External"/><Relationship Id="rId14" Type="http://schemas.openxmlformats.org/officeDocument/2006/relationships/image" Target="../media/image7.com"/><Relationship Id="rId22" Type="http://schemas.openxmlformats.org/officeDocument/2006/relationships/image" Target="../media/image11.com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</webImagesSrd>
</file>

<file path=xl/richData/rdrichvalue.xml><?xml version="1.0" encoding="utf-8"?>
<rvData xmlns="http://schemas.microsoft.com/office/spreadsheetml/2017/richdata" count="11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F4C202-F520-4422-A085-12DE5BCE7785}" name="Query1" displayName="Query1" ref="A1:C2" totalsRowShown="0">
  <autoFilter ref="A1:C2" xr:uid="{DAF4C202-F520-4422-A085-12DE5BCE7785}"/>
  <tableColumns count="3">
    <tableColumn id="1" xr3:uid="{C63041A0-96C9-44A4-9F41-769C94E4E700}" name="TotalSales"/>
    <tableColumn id="2" xr3:uid="{FC54379A-44DB-4541-A194-DDF72BCE6B35}" name="TotalProfit"/>
    <tableColumn id="3" xr3:uid="{08BE9508-DAB2-4BCC-BFA1-020765FA7DB3}" name="TotalQ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F03D9E-995C-4DB6-B8E0-DD59461502D4}" name="Table_Query_from_Connectity" displayName="Table_Query_from_Connectity" ref="D4:G22" tableType="queryTable" totalsRowShown="0">
  <autoFilter ref="D4:G22" xr:uid="{0AF03D9E-995C-4DB6-B8E0-DD59461502D4}"/>
  <tableColumns count="4">
    <tableColumn id="1" xr3:uid="{B02680F9-8AEF-4BAD-978D-9D8DE731AD19}" uniqueName="1" name="Agent" queryTableFieldId="1"/>
    <tableColumn id="2" xr3:uid="{61E4D6EF-7B0D-4935-AB72-7693AD0DBE49}" uniqueName="2" name="AcctType" queryTableFieldId="2"/>
    <tableColumn id="3" xr3:uid="{10FA38E6-4895-4F78-B76F-4052CDE2A345}" uniqueName="3" name="Month" queryTableFieldId="3"/>
    <tableColumn id="4" xr3:uid="{3B916655-7B49-4685-9538-EB27A03C0CCA}" uniqueName="4" name="Year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ECD1CE-8354-4BF9-B492-3C05D14EDEC0}" name="Table_ExternalData_16" displayName="Table_ExternalData_16" ref="J4:M146" tableType="queryTable" totalsRowShown="0">
  <autoFilter ref="J4:M146" xr:uid="{99ECD1CE-8354-4BF9-B492-3C05D14EDEC0}"/>
  <tableColumns count="4">
    <tableColumn id="1" xr3:uid="{0B070FA8-25A2-43D6-AFDB-6701425499CC}" uniqueName="1" name="Agent" queryTableFieldId="1"/>
    <tableColumn id="2" xr3:uid="{9C73C2CE-5279-43C6-8D61-D3F1D2217C73}" uniqueName="2" name="AcctType" queryTableFieldId="2"/>
    <tableColumn id="3" xr3:uid="{D0B67E98-DD4D-4D01-ABCB-0F0DC799B6B4}" uniqueName="3" name="Month" queryTableFieldId="3"/>
    <tableColumn id="4" xr3:uid="{5ED39ABE-C83B-4541-87DE-95898C213EE5}" uniqueName="4" name="Year" queryTableField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2F43E0-813E-4847-9717-BEB2522FB280}" name="Query4" displayName="Query4" ref="D5:H12" tableType="queryTable" totalsRowShown="0">
  <autoFilter ref="D5:H12" xr:uid="{052F43E0-813E-4847-9717-BEB2522FB280}"/>
  <tableColumns count="5">
    <tableColumn id="1" xr3:uid="{F7CE2830-343D-4D6C-839E-9DC374C277E9}" uniqueName="1" name="Agent" queryTableFieldId="1" dataDxfId="2"/>
    <tableColumn id="2" xr3:uid="{04B5676F-9B04-4D81-978C-D44FBAA180A3}" uniqueName="2" name="CD" queryTableFieldId="2"/>
    <tableColumn id="3" xr3:uid="{0AEADDE1-76F3-4F82-B2DF-32925F35C789}" uniqueName="3" name="IRA" queryTableFieldId="3"/>
    <tableColumn id="4" xr3:uid="{7D6794D8-13C6-453A-94D1-35C6D1103EEC}" uniqueName="4" name="Savings" queryTableFieldId="4"/>
    <tableColumn id="5" xr3:uid="{F8971BDB-3359-467C-AE3C-ED8A2176BA27}" uniqueName="5" name="Checking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77364D-ABA0-46AF-914A-81B10D998176}" name="Query3" displayName="Query3" ref="A1:D59" tableType="queryTable" totalsRowShown="0">
  <autoFilter ref="A1:D59" xr:uid="{8877364D-ABA0-46AF-914A-81B10D998176}"/>
  <tableColumns count="4">
    <tableColumn id="1" xr3:uid="{BF26497B-2FFF-4045-B56E-153C12380CF0}" uniqueName="1" name="Agent" queryTableFieldId="1" dataDxfId="1"/>
    <tableColumn id="2" xr3:uid="{DB458A74-BDC4-43AF-9D1A-68383566DF6B}" uniqueName="2" name="Accttype" queryTableFieldId="2" dataDxfId="0"/>
    <tableColumn id="3" xr3:uid="{C8D16159-C0A1-41FE-A0CD-A2BACB304B1E}" uniqueName="3" name="Actual" queryTableFieldId="3"/>
    <tableColumn id="4" xr3:uid="{DA6B44AA-639E-4867-9772-5EBB9C54DE3C}" uniqueName="4" name="Targe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ED4E49A-E787-4E4B-A4AD-9B02BB697290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3875-2986-4D60-A080-115E2DD1915F}">
  <sheetPr codeName="Sheet1"/>
  <dimension ref="H1:S113"/>
  <sheetViews>
    <sheetView tabSelected="1" topLeftCell="H1" zoomScale="141" zoomScaleNormal="141" workbookViewId="0">
      <selection activeCell="I53" sqref="I53"/>
    </sheetView>
  </sheetViews>
  <sheetFormatPr defaultRowHeight="14.4" x14ac:dyDescent="0.3"/>
  <cols>
    <col min="4" max="4" width="12.33203125" bestFit="1" customWidth="1"/>
    <col min="5" max="7" width="12.33203125" customWidth="1"/>
    <col min="8" max="8" width="6.5546875" bestFit="1" customWidth="1"/>
    <col min="9" max="9" width="46.44140625" customWidth="1"/>
    <col min="10" max="10" width="24.33203125" customWidth="1"/>
    <col min="11" max="11" width="13.6640625" customWidth="1"/>
    <col min="13" max="13" width="7.77734375" customWidth="1"/>
    <col min="14" max="14" width="7.44140625" customWidth="1"/>
    <col min="15" max="15" width="11" customWidth="1"/>
  </cols>
  <sheetData>
    <row r="1" spans="8:19" x14ac:dyDescent="0.3">
      <c r="H1" s="33" t="s">
        <v>0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5"/>
    </row>
    <row r="2" spans="8:19" ht="15" thickBot="1" x14ac:dyDescent="0.35">
      <c r="H2" s="36"/>
      <c r="I2" s="37"/>
      <c r="J2" s="37"/>
      <c r="K2" s="37"/>
      <c r="L2" s="37"/>
      <c r="M2" s="37"/>
      <c r="N2" s="37"/>
      <c r="O2" s="37"/>
      <c r="P2" s="37"/>
      <c r="Q2" s="37"/>
      <c r="R2" s="37"/>
      <c r="S2" s="38"/>
    </row>
    <row r="4" spans="8:19" x14ac:dyDescent="0.3">
      <c r="J4" s="1" t="s">
        <v>1</v>
      </c>
      <c r="K4" t="s">
        <v>3</v>
      </c>
    </row>
    <row r="5" spans="8:19" x14ac:dyDescent="0.3">
      <c r="J5" s="2" t="s">
        <v>2</v>
      </c>
      <c r="K5" s="3" t="s">
        <v>4</v>
      </c>
      <c r="L5" s="2"/>
    </row>
    <row r="7" spans="8:19" x14ac:dyDescent="0.3">
      <c r="J7" t="s">
        <v>6</v>
      </c>
      <c r="K7" s="39" t="s">
        <v>7</v>
      </c>
      <c r="L7" s="40" t="s">
        <v>8</v>
      </c>
      <c r="M7" s="40"/>
      <c r="N7" s="40"/>
      <c r="O7" s="40"/>
      <c r="P7" s="40"/>
    </row>
    <row r="8" spans="8:19" x14ac:dyDescent="0.3">
      <c r="J8" t="s">
        <v>5</v>
      </c>
      <c r="K8" s="39"/>
      <c r="L8" s="40"/>
      <c r="M8" s="40"/>
      <c r="N8" s="40"/>
      <c r="O8" s="40"/>
      <c r="P8" s="40"/>
    </row>
    <row r="10" spans="8:19" x14ac:dyDescent="0.3">
      <c r="J10" t="s">
        <v>8</v>
      </c>
      <c r="K10" t="s">
        <v>100</v>
      </c>
    </row>
    <row r="12" spans="8:19" x14ac:dyDescent="0.3">
      <c r="J12" s="4" t="s">
        <v>9</v>
      </c>
    </row>
    <row r="14" spans="8:19" x14ac:dyDescent="0.3">
      <c r="J14" t="s">
        <v>10</v>
      </c>
    </row>
    <row r="15" spans="8:19" x14ac:dyDescent="0.3">
      <c r="J15" t="s">
        <v>11</v>
      </c>
    </row>
    <row r="18" spans="10:15" x14ac:dyDescent="0.3">
      <c r="J18" s="4" t="s">
        <v>12</v>
      </c>
    </row>
    <row r="20" spans="10:15" x14ac:dyDescent="0.3">
      <c r="J20" s="15" t="s">
        <v>13</v>
      </c>
    </row>
    <row r="21" spans="10:15" x14ac:dyDescent="0.3">
      <c r="J21" s="15" t="s">
        <v>14</v>
      </c>
    </row>
    <row r="22" spans="10:15" x14ac:dyDescent="0.3">
      <c r="J22" s="15" t="s">
        <v>15</v>
      </c>
    </row>
    <row r="23" spans="10:15" x14ac:dyDescent="0.3">
      <c r="J23" s="15" t="s">
        <v>16</v>
      </c>
    </row>
    <row r="24" spans="10:15" x14ac:dyDescent="0.3">
      <c r="J24" s="15" t="s">
        <v>17</v>
      </c>
    </row>
    <row r="25" spans="10:15" x14ac:dyDescent="0.3">
      <c r="J25" s="15" t="s">
        <v>89</v>
      </c>
    </row>
    <row r="26" spans="10:15" x14ac:dyDescent="0.3">
      <c r="J26" s="15" t="s">
        <v>18</v>
      </c>
    </row>
    <row r="27" spans="10:15" x14ac:dyDescent="0.3">
      <c r="J27" s="15" t="s">
        <v>19</v>
      </c>
    </row>
    <row r="30" spans="10:15" x14ac:dyDescent="0.3">
      <c r="J30" s="4" t="s">
        <v>20</v>
      </c>
    </row>
    <row r="32" spans="10:15" x14ac:dyDescent="0.3">
      <c r="J32" t="s">
        <v>21</v>
      </c>
      <c r="K32" s="32" t="b">
        <v>1</v>
      </c>
      <c r="O32" s="12" t="s">
        <v>227</v>
      </c>
    </row>
    <row r="33" spans="8:15" x14ac:dyDescent="0.3">
      <c r="J33" t="s">
        <v>22</v>
      </c>
      <c r="K33" s="32" t="b">
        <v>1</v>
      </c>
    </row>
    <row r="34" spans="8:15" x14ac:dyDescent="0.3">
      <c r="J34" t="s">
        <v>206</v>
      </c>
      <c r="K34" s="32" t="b">
        <v>1</v>
      </c>
      <c r="O34" s="12" t="s">
        <v>78</v>
      </c>
    </row>
    <row r="35" spans="8:15" x14ac:dyDescent="0.3">
      <c r="J35" t="s">
        <v>207</v>
      </c>
      <c r="K35" s="32" t="b">
        <v>1</v>
      </c>
    </row>
    <row r="36" spans="8:15" x14ac:dyDescent="0.3">
      <c r="J36" t="s">
        <v>23</v>
      </c>
      <c r="K36" s="32" t="b">
        <v>1</v>
      </c>
      <c r="O36" t="s">
        <v>228</v>
      </c>
    </row>
    <row r="37" spans="8:15" x14ac:dyDescent="0.3">
      <c r="J37" t="s">
        <v>24</v>
      </c>
      <c r="K37" s="32" t="b">
        <v>1</v>
      </c>
      <c r="O37" t="s">
        <v>80</v>
      </c>
    </row>
    <row r="38" spans="8:15" x14ac:dyDescent="0.3">
      <c r="J38" t="s">
        <v>25</v>
      </c>
      <c r="K38" s="32" t="b">
        <v>1</v>
      </c>
      <c r="O38" t="s">
        <v>229</v>
      </c>
    </row>
    <row r="39" spans="8:15" x14ac:dyDescent="0.3">
      <c r="J39" t="s">
        <v>90</v>
      </c>
      <c r="K39" s="32" t="b">
        <v>1</v>
      </c>
      <c r="O39" s="16" t="s">
        <v>230</v>
      </c>
    </row>
    <row r="40" spans="8:15" x14ac:dyDescent="0.3">
      <c r="J40" t="s">
        <v>129</v>
      </c>
      <c r="K40" s="32" t="b">
        <v>1</v>
      </c>
      <c r="O40" s="16" t="s">
        <v>230</v>
      </c>
    </row>
    <row r="41" spans="8:15" x14ac:dyDescent="0.3">
      <c r="J41" t="s">
        <v>223</v>
      </c>
      <c r="K41" s="32" t="b">
        <v>1</v>
      </c>
      <c r="O41" s="16" t="s">
        <v>230</v>
      </c>
    </row>
    <row r="42" spans="8:15" x14ac:dyDescent="0.3">
      <c r="J42" t="s">
        <v>224</v>
      </c>
      <c r="K42" s="32" t="b">
        <v>1</v>
      </c>
      <c r="O42" t="s">
        <v>231</v>
      </c>
    </row>
    <row r="43" spans="8:15" x14ac:dyDescent="0.3">
      <c r="J43" t="s">
        <v>225</v>
      </c>
      <c r="K43" s="32" t="b">
        <v>1</v>
      </c>
    </row>
    <row r="44" spans="8:15" x14ac:dyDescent="0.3">
      <c r="J44" t="s">
        <v>226</v>
      </c>
      <c r="K44" s="32" t="b">
        <v>1</v>
      </c>
    </row>
    <row r="45" spans="8:15" x14ac:dyDescent="0.3">
      <c r="J45" t="s">
        <v>26</v>
      </c>
    </row>
    <row r="48" spans="8:15" ht="15.6" x14ac:dyDescent="0.3">
      <c r="H48" s="18" t="s">
        <v>27</v>
      </c>
      <c r="I48" s="19" t="s">
        <v>28</v>
      </c>
      <c r="J48" s="20" t="s">
        <v>29</v>
      </c>
    </row>
    <row r="49" spans="8:15" x14ac:dyDescent="0.3">
      <c r="H49" s="5" t="s">
        <v>30</v>
      </c>
      <c r="I49" s="5" t="s">
        <v>31</v>
      </c>
      <c r="J49" s="25" t="b">
        <v>1</v>
      </c>
    </row>
    <row r="50" spans="8:15" x14ac:dyDescent="0.3">
      <c r="H50" s="6" t="s">
        <v>32</v>
      </c>
      <c r="I50" s="6" t="s">
        <v>33</v>
      </c>
      <c r="J50" s="25" t="b">
        <v>1</v>
      </c>
    </row>
    <row r="51" spans="8:15" x14ac:dyDescent="0.3">
      <c r="H51" s="5" t="s">
        <v>34</v>
      </c>
      <c r="I51" s="5" t="s">
        <v>35</v>
      </c>
      <c r="J51" s="25" t="b">
        <v>1</v>
      </c>
    </row>
    <row r="52" spans="8:15" x14ac:dyDescent="0.3">
      <c r="H52" s="6" t="s">
        <v>36</v>
      </c>
      <c r="I52" s="6" t="s">
        <v>37</v>
      </c>
      <c r="J52" s="25" t="b">
        <v>1</v>
      </c>
    </row>
    <row r="53" spans="8:15" x14ac:dyDescent="0.3">
      <c r="H53" s="5" t="s">
        <v>38</v>
      </c>
      <c r="I53" s="5" t="s">
        <v>130</v>
      </c>
      <c r="J53" s="25" t="b">
        <v>0</v>
      </c>
    </row>
    <row r="54" spans="8:15" x14ac:dyDescent="0.3">
      <c r="H54" s="5" t="s">
        <v>212</v>
      </c>
      <c r="I54" s="5" t="s">
        <v>131</v>
      </c>
      <c r="J54" s="25" t="b">
        <v>0</v>
      </c>
    </row>
    <row r="55" spans="8:15" x14ac:dyDescent="0.3">
      <c r="H55" s="5" t="s">
        <v>40</v>
      </c>
      <c r="I55" s="7" t="s">
        <v>39</v>
      </c>
      <c r="J55" s="25" t="b">
        <v>0</v>
      </c>
    </row>
    <row r="56" spans="8:15" x14ac:dyDescent="0.3">
      <c r="H56" s="6" t="s">
        <v>213</v>
      </c>
      <c r="I56" s="6" t="s">
        <v>41</v>
      </c>
      <c r="J56" s="25" t="b">
        <v>0</v>
      </c>
    </row>
    <row r="57" spans="8:15" x14ac:dyDescent="0.3">
      <c r="H57" s="5" t="s">
        <v>218</v>
      </c>
      <c r="I57" s="5" t="s">
        <v>42</v>
      </c>
      <c r="J57" s="25" t="b">
        <v>0</v>
      </c>
    </row>
    <row r="58" spans="8:15" x14ac:dyDescent="0.3">
      <c r="H58" s="8" t="s">
        <v>219</v>
      </c>
      <c r="I58" s="6" t="s">
        <v>43</v>
      </c>
      <c r="J58" s="25" t="b">
        <v>0</v>
      </c>
    </row>
    <row r="59" spans="8:15" x14ac:dyDescent="0.3">
      <c r="H59" s="8" t="s">
        <v>220</v>
      </c>
      <c r="I59" s="5" t="s">
        <v>44</v>
      </c>
      <c r="J59" s="25" t="b">
        <v>0</v>
      </c>
    </row>
    <row r="60" spans="8:15" x14ac:dyDescent="0.3">
      <c r="H60" s="8" t="s">
        <v>221</v>
      </c>
      <c r="I60" s="6" t="s">
        <v>45</v>
      </c>
      <c r="J60" s="25" t="b">
        <v>0</v>
      </c>
    </row>
    <row r="61" spans="8:15" x14ac:dyDescent="0.3">
      <c r="H61" s="6" t="s">
        <v>222</v>
      </c>
      <c r="I61" s="5" t="s">
        <v>46</v>
      </c>
      <c r="J61" s="25" t="b">
        <v>0</v>
      </c>
    </row>
    <row r="62" spans="8:15" x14ac:dyDescent="0.3">
      <c r="H62" s="6" t="s">
        <v>214</v>
      </c>
      <c r="I62" s="5" t="s">
        <v>47</v>
      </c>
      <c r="J62" s="25" t="b">
        <v>0</v>
      </c>
      <c r="N62" s="16" t="s">
        <v>96</v>
      </c>
      <c r="O62" t="s">
        <v>97</v>
      </c>
    </row>
    <row r="63" spans="8:15" x14ac:dyDescent="0.3">
      <c r="H63" s="5" t="s">
        <v>215</v>
      </c>
      <c r="I63" s="6" t="s">
        <v>48</v>
      </c>
      <c r="J63" s="25" t="b">
        <v>0</v>
      </c>
      <c r="N63" s="16" t="s">
        <v>98</v>
      </c>
      <c r="O63" t="s">
        <v>99</v>
      </c>
    </row>
    <row r="64" spans="8:15" x14ac:dyDescent="0.3">
      <c r="H64" s="6" t="s">
        <v>216</v>
      </c>
      <c r="I64" s="5" t="s">
        <v>49</v>
      </c>
      <c r="J64" s="25" t="b">
        <v>0</v>
      </c>
    </row>
    <row r="65" spans="8:10" x14ac:dyDescent="0.3">
      <c r="H65" s="5" t="s">
        <v>217</v>
      </c>
      <c r="I65" s="6" t="s">
        <v>50</v>
      </c>
      <c r="J65" s="25" t="b">
        <v>0</v>
      </c>
    </row>
    <row r="66" spans="8:10" ht="28.8" x14ac:dyDescent="0.55000000000000004">
      <c r="I66" s="9" t="s">
        <v>51</v>
      </c>
      <c r="J66" s="5"/>
    </row>
    <row r="67" spans="8:10" x14ac:dyDescent="0.3">
      <c r="H67" s="6" t="s">
        <v>52</v>
      </c>
      <c r="I67" s="6" t="s">
        <v>53</v>
      </c>
      <c r="J67" s="25" t="b">
        <v>0</v>
      </c>
    </row>
    <row r="68" spans="8:10" x14ac:dyDescent="0.3">
      <c r="H68" s="5" t="s">
        <v>54</v>
      </c>
      <c r="I68" s="5" t="s">
        <v>55</v>
      </c>
      <c r="J68" s="25" t="b">
        <v>0</v>
      </c>
    </row>
    <row r="69" spans="8:10" x14ac:dyDescent="0.3">
      <c r="H69" s="5" t="s">
        <v>56</v>
      </c>
      <c r="I69" s="6" t="s">
        <v>57</v>
      </c>
      <c r="J69" s="25" t="b">
        <v>0</v>
      </c>
    </row>
    <row r="70" spans="8:10" x14ac:dyDescent="0.3">
      <c r="H70" s="6" t="s">
        <v>58</v>
      </c>
      <c r="I70" s="5" t="s">
        <v>59</v>
      </c>
      <c r="J70" s="25" t="b">
        <v>0</v>
      </c>
    </row>
    <row r="71" spans="8:10" x14ac:dyDescent="0.3">
      <c r="H71" s="10" t="s">
        <v>60</v>
      </c>
      <c r="I71" s="6" t="s">
        <v>61</v>
      </c>
      <c r="J71" s="25" t="b">
        <v>0</v>
      </c>
    </row>
    <row r="72" spans="8:10" x14ac:dyDescent="0.3">
      <c r="H72" s="11" t="s">
        <v>62</v>
      </c>
      <c r="I72" s="10" t="s">
        <v>63</v>
      </c>
      <c r="J72" s="25" t="b">
        <v>0</v>
      </c>
    </row>
    <row r="73" spans="8:10" x14ac:dyDescent="0.3">
      <c r="H73" s="10" t="s">
        <v>64</v>
      </c>
      <c r="I73" s="6" t="s">
        <v>65</v>
      </c>
      <c r="J73" s="25" t="b">
        <v>0</v>
      </c>
    </row>
    <row r="74" spans="8:10" x14ac:dyDescent="0.3">
      <c r="H74" s="11" t="s">
        <v>66</v>
      </c>
      <c r="I74" s="5" t="s">
        <v>67</v>
      </c>
      <c r="J74" s="25" t="b">
        <v>0</v>
      </c>
    </row>
    <row r="75" spans="8:10" x14ac:dyDescent="0.3">
      <c r="H75" s="7" t="s">
        <v>68</v>
      </c>
      <c r="I75" s="5" t="s">
        <v>69</v>
      </c>
      <c r="J75" s="25" t="b">
        <v>0</v>
      </c>
    </row>
    <row r="76" spans="8:10" x14ac:dyDescent="0.3">
      <c r="H76" s="8" t="s">
        <v>70</v>
      </c>
      <c r="I76" s="11" t="s">
        <v>71</v>
      </c>
      <c r="J76" s="25" t="b">
        <v>0</v>
      </c>
    </row>
    <row r="77" spans="8:10" ht="28.8" x14ac:dyDescent="0.55000000000000004">
      <c r="H77" s="7" t="s">
        <v>72</v>
      </c>
      <c r="I77" s="9" t="s">
        <v>73</v>
      </c>
      <c r="J77" s="5"/>
    </row>
    <row r="81" spans="8:9" x14ac:dyDescent="0.3">
      <c r="I81" s="12" t="s">
        <v>74</v>
      </c>
    </row>
    <row r="83" spans="8:9" x14ac:dyDescent="0.3">
      <c r="H83">
        <v>1</v>
      </c>
      <c r="I83" s="3" t="s">
        <v>75</v>
      </c>
    </row>
    <row r="84" spans="8:9" x14ac:dyDescent="0.3">
      <c r="H84">
        <v>2</v>
      </c>
      <c r="I84" s="3" t="s">
        <v>76</v>
      </c>
    </row>
    <row r="85" spans="8:9" x14ac:dyDescent="0.3">
      <c r="H85">
        <v>3</v>
      </c>
      <c r="I85" s="3" t="s">
        <v>77</v>
      </c>
    </row>
    <row r="87" spans="8:9" x14ac:dyDescent="0.3">
      <c r="I87" s="13" t="s">
        <v>78</v>
      </c>
    </row>
    <row r="89" spans="8:9" x14ac:dyDescent="0.3">
      <c r="I89" s="6" t="s">
        <v>79</v>
      </c>
    </row>
    <row r="90" spans="8:9" x14ac:dyDescent="0.3">
      <c r="I90" s="6" t="s">
        <v>80</v>
      </c>
    </row>
    <row r="91" spans="8:9" x14ac:dyDescent="0.3">
      <c r="I91" s="14" t="s">
        <v>81</v>
      </c>
    </row>
    <row r="92" spans="8:9" x14ac:dyDescent="0.3">
      <c r="I92" s="15" t="s">
        <v>82</v>
      </c>
    </row>
    <row r="93" spans="8:9" x14ac:dyDescent="0.3">
      <c r="I93" s="15" t="s">
        <v>83</v>
      </c>
    </row>
    <row r="94" spans="8:9" x14ac:dyDescent="0.3">
      <c r="I94" s="15" t="s">
        <v>85</v>
      </c>
    </row>
    <row r="95" spans="8:9" x14ac:dyDescent="0.3">
      <c r="I95" s="14" t="s">
        <v>84</v>
      </c>
    </row>
    <row r="97" spans="9:10" x14ac:dyDescent="0.3">
      <c r="I97" s="4" t="s">
        <v>145</v>
      </c>
    </row>
    <row r="99" spans="9:10" x14ac:dyDescent="0.3">
      <c r="I99" t="s">
        <v>146</v>
      </c>
    </row>
    <row r="100" spans="9:10" x14ac:dyDescent="0.3">
      <c r="I100" t="s">
        <v>147</v>
      </c>
    </row>
    <row r="102" spans="9:10" x14ac:dyDescent="0.3">
      <c r="I102" t="s">
        <v>101</v>
      </c>
    </row>
    <row r="103" spans="9:10" x14ac:dyDescent="0.3">
      <c r="I103" t="s">
        <v>80</v>
      </c>
    </row>
    <row r="104" spans="9:10" x14ac:dyDescent="0.3">
      <c r="I104" t="s">
        <v>102</v>
      </c>
    </row>
    <row r="105" spans="9:10" x14ac:dyDescent="0.3">
      <c r="I105" t="s">
        <v>82</v>
      </c>
    </row>
    <row r="106" spans="9:10" x14ac:dyDescent="0.3">
      <c r="I106" t="s">
        <v>83</v>
      </c>
    </row>
    <row r="107" spans="9:10" x14ac:dyDescent="0.3">
      <c r="I107" s="17" t="s">
        <v>103</v>
      </c>
    </row>
    <row r="109" spans="9:10" x14ac:dyDescent="0.3">
      <c r="I109" s="12" t="s">
        <v>104</v>
      </c>
    </row>
    <row r="111" spans="9:10" x14ac:dyDescent="0.3">
      <c r="I111" s="6" t="s">
        <v>105</v>
      </c>
      <c r="J111" s="6" t="s">
        <v>108</v>
      </c>
    </row>
    <row r="112" spans="9:10" x14ac:dyDescent="0.3">
      <c r="I112" s="6" t="s">
        <v>106</v>
      </c>
      <c r="J112" s="6" t="s">
        <v>109</v>
      </c>
    </row>
    <row r="113" spans="9:10" x14ac:dyDescent="0.3">
      <c r="I113" s="6" t="s">
        <v>107</v>
      </c>
      <c r="J113" s="6" t="s">
        <v>110</v>
      </c>
    </row>
  </sheetData>
  <mergeCells count="3">
    <mergeCell ref="H1:S2"/>
    <mergeCell ref="K7:K8"/>
    <mergeCell ref="L7:P8"/>
  </mergeCells>
  <phoneticPr fontId="1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F56AA-17CC-45FF-8E84-6D746200E46C}">
  <sheetPr codeName="Sheet4"/>
  <dimension ref="A1:C2"/>
  <sheetViews>
    <sheetView workbookViewId="0">
      <selection sqref="A1:C2"/>
    </sheetView>
  </sheetViews>
  <sheetFormatPr defaultRowHeight="14.4" x14ac:dyDescent="0.3"/>
  <cols>
    <col min="1" max="1" width="12.33203125" bestFit="1" customWidth="1"/>
    <col min="2" max="2" width="12.6640625" bestFit="1" customWidth="1"/>
    <col min="3" max="3" width="10.88671875" bestFit="1" customWidth="1"/>
  </cols>
  <sheetData>
    <row r="1" spans="1:3" x14ac:dyDescent="0.3">
      <c r="A1" t="s">
        <v>86</v>
      </c>
      <c r="B1" t="s">
        <v>87</v>
      </c>
      <c r="C1" t="s">
        <v>88</v>
      </c>
    </row>
    <row r="2" spans="1:3" x14ac:dyDescent="0.3">
      <c r="A2">
        <v>859144.54350000015</v>
      </c>
      <c r="B2">
        <v>107715.36338000004</v>
      </c>
      <c r="C2">
        <v>10430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308B8-AA22-4FF0-AAE9-4D952273C798}">
  <sheetPr codeName="Sheet2"/>
  <dimension ref="A1"/>
  <sheetViews>
    <sheetView workbookViewId="0">
      <selection activeCell="C3" sqref="C3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7E41-3089-4B91-902E-CD030345505D}">
  <sheetPr codeName="Sheet3"/>
  <dimension ref="D4:M146"/>
  <sheetViews>
    <sheetView workbookViewId="0">
      <selection activeCell="J4" sqref="J4:M146"/>
    </sheetView>
  </sheetViews>
  <sheetFormatPr defaultRowHeight="14.4" x14ac:dyDescent="0.3"/>
  <cols>
    <col min="4" max="4" width="13.33203125" bestFit="1" customWidth="1"/>
    <col min="5" max="5" width="11" bestFit="1" customWidth="1"/>
    <col min="6" max="6" width="9" bestFit="1" customWidth="1"/>
    <col min="7" max="7" width="6.88671875" bestFit="1" customWidth="1"/>
    <col min="10" max="10" width="13.44140625" bestFit="1" customWidth="1"/>
    <col min="11" max="11" width="11" bestFit="1" customWidth="1"/>
    <col min="12" max="12" width="9" bestFit="1" customWidth="1"/>
    <col min="13" max="13" width="6.88671875" bestFit="1" customWidth="1"/>
  </cols>
  <sheetData>
    <row r="4" spans="4:13" x14ac:dyDescent="0.3">
      <c r="D4" t="s">
        <v>91</v>
      </c>
      <c r="E4" t="s">
        <v>111</v>
      </c>
      <c r="F4" t="s">
        <v>114</v>
      </c>
      <c r="G4" t="s">
        <v>115</v>
      </c>
      <c r="J4" t="s">
        <v>91</v>
      </c>
      <c r="K4" t="s">
        <v>111</v>
      </c>
      <c r="L4" t="s">
        <v>114</v>
      </c>
      <c r="M4" t="s">
        <v>115</v>
      </c>
    </row>
    <row r="5" spans="4:13" x14ac:dyDescent="0.3">
      <c r="D5" t="s">
        <v>93</v>
      </c>
      <c r="E5" t="s">
        <v>112</v>
      </c>
      <c r="F5" t="s">
        <v>117</v>
      </c>
      <c r="G5">
        <v>2016</v>
      </c>
      <c r="J5" t="s">
        <v>93</v>
      </c>
      <c r="K5" t="s">
        <v>128</v>
      </c>
      <c r="L5" t="s">
        <v>117</v>
      </c>
      <c r="M5">
        <v>2016</v>
      </c>
    </row>
    <row r="6" spans="4:13" x14ac:dyDescent="0.3">
      <c r="D6" t="s">
        <v>93</v>
      </c>
      <c r="E6" t="s">
        <v>112</v>
      </c>
      <c r="F6" t="s">
        <v>118</v>
      </c>
      <c r="G6">
        <v>2016</v>
      </c>
      <c r="J6" t="s">
        <v>93</v>
      </c>
      <c r="K6" t="s">
        <v>128</v>
      </c>
      <c r="L6" t="s">
        <v>118</v>
      </c>
      <c r="M6">
        <v>2016</v>
      </c>
    </row>
    <row r="7" spans="4:13" x14ac:dyDescent="0.3">
      <c r="D7" t="s">
        <v>95</v>
      </c>
      <c r="E7" t="s">
        <v>112</v>
      </c>
      <c r="F7" t="s">
        <v>120</v>
      </c>
      <c r="G7">
        <v>2016</v>
      </c>
      <c r="J7" t="s">
        <v>93</v>
      </c>
      <c r="K7" t="s">
        <v>128</v>
      </c>
      <c r="L7" t="s">
        <v>118</v>
      </c>
      <c r="M7">
        <v>2016</v>
      </c>
    </row>
    <row r="8" spans="4:13" x14ac:dyDescent="0.3">
      <c r="D8" t="s">
        <v>95</v>
      </c>
      <c r="E8" t="s">
        <v>112</v>
      </c>
      <c r="F8" t="s">
        <v>123</v>
      </c>
      <c r="G8">
        <v>2016</v>
      </c>
      <c r="J8" t="s">
        <v>93</v>
      </c>
      <c r="K8" t="s">
        <v>128</v>
      </c>
      <c r="L8" t="s">
        <v>116</v>
      </c>
      <c r="M8">
        <v>2016</v>
      </c>
    </row>
    <row r="9" spans="4:13" x14ac:dyDescent="0.3">
      <c r="D9" t="s">
        <v>95</v>
      </c>
      <c r="E9" t="s">
        <v>112</v>
      </c>
      <c r="F9" t="s">
        <v>123</v>
      </c>
      <c r="G9">
        <v>2016</v>
      </c>
      <c r="J9" t="s">
        <v>113</v>
      </c>
      <c r="K9" t="s">
        <v>128</v>
      </c>
      <c r="L9" t="s">
        <v>116</v>
      </c>
      <c r="M9">
        <v>2016</v>
      </c>
    </row>
    <row r="10" spans="4:13" x14ac:dyDescent="0.3">
      <c r="D10" t="s">
        <v>95</v>
      </c>
      <c r="E10" t="s">
        <v>112</v>
      </c>
      <c r="F10" t="s">
        <v>127</v>
      </c>
      <c r="G10">
        <v>2016</v>
      </c>
      <c r="J10" t="s">
        <v>113</v>
      </c>
      <c r="K10" t="s">
        <v>128</v>
      </c>
      <c r="L10" t="s">
        <v>116</v>
      </c>
      <c r="M10">
        <v>2016</v>
      </c>
    </row>
    <row r="11" spans="4:13" x14ac:dyDescent="0.3">
      <c r="D11" t="s">
        <v>93</v>
      </c>
      <c r="E11" t="s">
        <v>112</v>
      </c>
      <c r="F11" t="s">
        <v>117</v>
      </c>
      <c r="G11">
        <v>2017</v>
      </c>
      <c r="J11" t="s">
        <v>93</v>
      </c>
      <c r="K11" t="s">
        <v>128</v>
      </c>
      <c r="L11" t="s">
        <v>119</v>
      </c>
      <c r="M11">
        <v>2016</v>
      </c>
    </row>
    <row r="12" spans="4:13" x14ac:dyDescent="0.3">
      <c r="D12" t="s">
        <v>113</v>
      </c>
      <c r="E12" t="s">
        <v>112</v>
      </c>
      <c r="F12" t="s">
        <v>125</v>
      </c>
      <c r="G12">
        <v>2017</v>
      </c>
      <c r="J12" t="s">
        <v>113</v>
      </c>
      <c r="K12" t="s">
        <v>128</v>
      </c>
      <c r="L12" t="s">
        <v>119</v>
      </c>
      <c r="M12">
        <v>2016</v>
      </c>
    </row>
    <row r="13" spans="4:13" x14ac:dyDescent="0.3">
      <c r="D13" t="s">
        <v>95</v>
      </c>
      <c r="E13" t="s">
        <v>112</v>
      </c>
      <c r="F13" t="s">
        <v>126</v>
      </c>
      <c r="G13">
        <v>2017</v>
      </c>
      <c r="J13" t="s">
        <v>93</v>
      </c>
      <c r="K13" t="s">
        <v>128</v>
      </c>
      <c r="L13" t="s">
        <v>120</v>
      </c>
      <c r="M13">
        <v>2016</v>
      </c>
    </row>
    <row r="14" spans="4:13" x14ac:dyDescent="0.3">
      <c r="D14" t="s">
        <v>113</v>
      </c>
      <c r="E14" t="s">
        <v>112</v>
      </c>
      <c r="F14" t="s">
        <v>120</v>
      </c>
      <c r="G14">
        <v>2019</v>
      </c>
      <c r="J14" t="s">
        <v>95</v>
      </c>
      <c r="K14" t="s">
        <v>128</v>
      </c>
      <c r="L14" t="s">
        <v>121</v>
      </c>
      <c r="M14">
        <v>2016</v>
      </c>
    </row>
    <row r="15" spans="4:13" x14ac:dyDescent="0.3">
      <c r="D15" t="s">
        <v>93</v>
      </c>
      <c r="E15" t="s">
        <v>112</v>
      </c>
      <c r="F15" t="s">
        <v>121</v>
      </c>
      <c r="G15">
        <v>2019</v>
      </c>
      <c r="J15" t="s">
        <v>113</v>
      </c>
      <c r="K15" t="s">
        <v>128</v>
      </c>
      <c r="L15" t="s">
        <v>121</v>
      </c>
      <c r="M15">
        <v>2016</v>
      </c>
    </row>
    <row r="16" spans="4:13" x14ac:dyDescent="0.3">
      <c r="D16" t="s">
        <v>93</v>
      </c>
      <c r="E16" t="s">
        <v>112</v>
      </c>
      <c r="F16" t="s">
        <v>125</v>
      </c>
      <c r="G16">
        <v>2019</v>
      </c>
      <c r="J16" t="s">
        <v>113</v>
      </c>
      <c r="K16" t="s">
        <v>128</v>
      </c>
      <c r="L16" t="s">
        <v>121</v>
      </c>
      <c r="M16">
        <v>2016</v>
      </c>
    </row>
    <row r="17" spans="4:13" x14ac:dyDescent="0.3">
      <c r="D17" t="s">
        <v>93</v>
      </c>
      <c r="E17" t="s">
        <v>112</v>
      </c>
      <c r="F17" t="s">
        <v>119</v>
      </c>
      <c r="G17">
        <v>2020</v>
      </c>
      <c r="J17" t="s">
        <v>92</v>
      </c>
      <c r="K17" t="s">
        <v>128</v>
      </c>
      <c r="L17" t="s">
        <v>121</v>
      </c>
      <c r="M17">
        <v>2016</v>
      </c>
    </row>
    <row r="18" spans="4:13" x14ac:dyDescent="0.3">
      <c r="D18" t="s">
        <v>113</v>
      </c>
      <c r="E18" t="s">
        <v>112</v>
      </c>
      <c r="F18" t="s">
        <v>122</v>
      </c>
      <c r="G18">
        <v>2021</v>
      </c>
      <c r="J18" t="s">
        <v>113</v>
      </c>
      <c r="K18" t="s">
        <v>128</v>
      </c>
      <c r="L18" t="s">
        <v>122</v>
      </c>
      <c r="M18">
        <v>2016</v>
      </c>
    </row>
    <row r="19" spans="4:13" x14ac:dyDescent="0.3">
      <c r="D19" t="s">
        <v>93</v>
      </c>
      <c r="E19" t="s">
        <v>112</v>
      </c>
      <c r="F19" t="s">
        <v>124</v>
      </c>
      <c r="G19">
        <v>2021</v>
      </c>
      <c r="J19" t="s">
        <v>93</v>
      </c>
      <c r="K19" t="s">
        <v>128</v>
      </c>
      <c r="L19" t="s">
        <v>122</v>
      </c>
      <c r="M19">
        <v>2016</v>
      </c>
    </row>
    <row r="20" spans="4:13" x14ac:dyDescent="0.3">
      <c r="D20" t="s">
        <v>93</v>
      </c>
      <c r="E20" t="s">
        <v>112</v>
      </c>
      <c r="F20" t="s">
        <v>116</v>
      </c>
      <c r="G20">
        <v>2022</v>
      </c>
      <c r="J20" t="s">
        <v>113</v>
      </c>
      <c r="K20" t="s">
        <v>128</v>
      </c>
      <c r="L20" t="s">
        <v>125</v>
      </c>
      <c r="M20">
        <v>2016</v>
      </c>
    </row>
    <row r="21" spans="4:13" x14ac:dyDescent="0.3">
      <c r="D21" t="s">
        <v>92</v>
      </c>
      <c r="E21" t="s">
        <v>112</v>
      </c>
      <c r="F21" t="s">
        <v>121</v>
      </c>
      <c r="G21">
        <v>2022</v>
      </c>
      <c r="J21" t="s">
        <v>92</v>
      </c>
      <c r="K21" t="s">
        <v>128</v>
      </c>
      <c r="L21" t="s">
        <v>125</v>
      </c>
      <c r="M21">
        <v>2016</v>
      </c>
    </row>
    <row r="22" spans="4:13" x14ac:dyDescent="0.3">
      <c r="D22" t="s">
        <v>95</v>
      </c>
      <c r="E22" t="s">
        <v>112</v>
      </c>
      <c r="F22" t="s">
        <v>125</v>
      </c>
      <c r="G22">
        <v>2022</v>
      </c>
      <c r="J22" t="s">
        <v>113</v>
      </c>
      <c r="K22" t="s">
        <v>128</v>
      </c>
      <c r="L22" t="s">
        <v>125</v>
      </c>
      <c r="M22">
        <v>2016</v>
      </c>
    </row>
    <row r="23" spans="4:13" x14ac:dyDescent="0.3">
      <c r="J23" t="s">
        <v>95</v>
      </c>
      <c r="K23" t="s">
        <v>128</v>
      </c>
      <c r="L23" t="s">
        <v>126</v>
      </c>
      <c r="M23">
        <v>2016</v>
      </c>
    </row>
    <row r="24" spans="4:13" x14ac:dyDescent="0.3">
      <c r="J24" t="s">
        <v>95</v>
      </c>
      <c r="K24" t="s">
        <v>128</v>
      </c>
      <c r="L24" t="s">
        <v>126</v>
      </c>
      <c r="M24">
        <v>2016</v>
      </c>
    </row>
    <row r="25" spans="4:13" x14ac:dyDescent="0.3">
      <c r="J25" t="s">
        <v>93</v>
      </c>
      <c r="K25" t="s">
        <v>128</v>
      </c>
      <c r="L25" t="s">
        <v>126</v>
      </c>
      <c r="M25">
        <v>2016</v>
      </c>
    </row>
    <row r="26" spans="4:13" x14ac:dyDescent="0.3">
      <c r="J26" t="s">
        <v>93</v>
      </c>
      <c r="K26" t="s">
        <v>128</v>
      </c>
      <c r="L26" t="s">
        <v>126</v>
      </c>
      <c r="M26">
        <v>2016</v>
      </c>
    </row>
    <row r="27" spans="4:13" x14ac:dyDescent="0.3">
      <c r="J27" t="s">
        <v>93</v>
      </c>
      <c r="K27" t="s">
        <v>128</v>
      </c>
      <c r="L27" t="s">
        <v>126</v>
      </c>
      <c r="M27">
        <v>2016</v>
      </c>
    </row>
    <row r="28" spans="4:13" x14ac:dyDescent="0.3">
      <c r="J28" t="s">
        <v>93</v>
      </c>
      <c r="K28" t="s">
        <v>128</v>
      </c>
      <c r="L28" t="s">
        <v>127</v>
      </c>
      <c r="M28">
        <v>2016</v>
      </c>
    </row>
    <row r="29" spans="4:13" x14ac:dyDescent="0.3">
      <c r="J29" t="s">
        <v>93</v>
      </c>
      <c r="K29" t="s">
        <v>128</v>
      </c>
      <c r="L29" t="s">
        <v>117</v>
      </c>
      <c r="M29">
        <v>2017</v>
      </c>
    </row>
    <row r="30" spans="4:13" x14ac:dyDescent="0.3">
      <c r="J30" t="s">
        <v>113</v>
      </c>
      <c r="K30" t="s">
        <v>128</v>
      </c>
      <c r="L30" t="s">
        <v>117</v>
      </c>
      <c r="M30">
        <v>2017</v>
      </c>
    </row>
    <row r="31" spans="4:13" x14ac:dyDescent="0.3">
      <c r="J31" t="s">
        <v>113</v>
      </c>
      <c r="K31" t="s">
        <v>128</v>
      </c>
      <c r="L31" t="s">
        <v>117</v>
      </c>
      <c r="M31">
        <v>2017</v>
      </c>
    </row>
    <row r="32" spans="4:13" x14ac:dyDescent="0.3">
      <c r="J32" t="s">
        <v>94</v>
      </c>
      <c r="K32" t="s">
        <v>128</v>
      </c>
      <c r="L32" t="s">
        <v>117</v>
      </c>
      <c r="M32">
        <v>2017</v>
      </c>
    </row>
    <row r="33" spans="10:13" x14ac:dyDescent="0.3">
      <c r="J33" t="s">
        <v>113</v>
      </c>
      <c r="K33" t="s">
        <v>128</v>
      </c>
      <c r="L33" t="s">
        <v>117</v>
      </c>
      <c r="M33">
        <v>2017</v>
      </c>
    </row>
    <row r="34" spans="10:13" x14ac:dyDescent="0.3">
      <c r="J34" t="s">
        <v>92</v>
      </c>
      <c r="K34" t="s">
        <v>128</v>
      </c>
      <c r="L34" t="s">
        <v>117</v>
      </c>
      <c r="M34">
        <v>2017</v>
      </c>
    </row>
    <row r="35" spans="10:13" x14ac:dyDescent="0.3">
      <c r="J35" t="s">
        <v>93</v>
      </c>
      <c r="K35" t="s">
        <v>128</v>
      </c>
      <c r="L35" t="s">
        <v>118</v>
      </c>
      <c r="M35">
        <v>2017</v>
      </c>
    </row>
    <row r="36" spans="10:13" x14ac:dyDescent="0.3">
      <c r="J36" t="s">
        <v>93</v>
      </c>
      <c r="K36" t="s">
        <v>128</v>
      </c>
      <c r="L36" t="s">
        <v>118</v>
      </c>
      <c r="M36">
        <v>2017</v>
      </c>
    </row>
    <row r="37" spans="10:13" x14ac:dyDescent="0.3">
      <c r="J37" t="s">
        <v>93</v>
      </c>
      <c r="K37" t="s">
        <v>128</v>
      </c>
      <c r="L37" t="s">
        <v>118</v>
      </c>
      <c r="M37">
        <v>2017</v>
      </c>
    </row>
    <row r="38" spans="10:13" x14ac:dyDescent="0.3">
      <c r="J38" t="s">
        <v>113</v>
      </c>
      <c r="K38" t="s">
        <v>128</v>
      </c>
      <c r="L38" t="s">
        <v>116</v>
      </c>
      <c r="M38">
        <v>2017</v>
      </c>
    </row>
    <row r="39" spans="10:13" x14ac:dyDescent="0.3">
      <c r="J39" t="s">
        <v>92</v>
      </c>
      <c r="K39" t="s">
        <v>128</v>
      </c>
      <c r="L39" t="s">
        <v>119</v>
      </c>
      <c r="M39">
        <v>2017</v>
      </c>
    </row>
    <row r="40" spans="10:13" x14ac:dyDescent="0.3">
      <c r="J40" t="s">
        <v>93</v>
      </c>
      <c r="K40" t="s">
        <v>128</v>
      </c>
      <c r="L40" t="s">
        <v>119</v>
      </c>
      <c r="M40">
        <v>2017</v>
      </c>
    </row>
    <row r="41" spans="10:13" x14ac:dyDescent="0.3">
      <c r="J41" t="s">
        <v>93</v>
      </c>
      <c r="K41" t="s">
        <v>128</v>
      </c>
      <c r="L41" t="s">
        <v>119</v>
      </c>
      <c r="M41">
        <v>2017</v>
      </c>
    </row>
    <row r="42" spans="10:13" x14ac:dyDescent="0.3">
      <c r="J42" t="s">
        <v>113</v>
      </c>
      <c r="K42" t="s">
        <v>128</v>
      </c>
      <c r="L42" t="s">
        <v>120</v>
      </c>
      <c r="M42">
        <v>2017</v>
      </c>
    </row>
    <row r="43" spans="10:13" x14ac:dyDescent="0.3">
      <c r="J43" t="s">
        <v>93</v>
      </c>
      <c r="K43" t="s">
        <v>128</v>
      </c>
      <c r="L43" t="s">
        <v>122</v>
      </c>
      <c r="M43">
        <v>2017</v>
      </c>
    </row>
    <row r="44" spans="10:13" x14ac:dyDescent="0.3">
      <c r="J44" t="s">
        <v>93</v>
      </c>
      <c r="K44" t="s">
        <v>128</v>
      </c>
      <c r="L44" t="s">
        <v>122</v>
      </c>
      <c r="M44">
        <v>2017</v>
      </c>
    </row>
    <row r="45" spans="10:13" x14ac:dyDescent="0.3">
      <c r="J45" t="s">
        <v>113</v>
      </c>
      <c r="K45" t="s">
        <v>128</v>
      </c>
      <c r="L45" t="s">
        <v>125</v>
      </c>
      <c r="M45">
        <v>2017</v>
      </c>
    </row>
    <row r="46" spans="10:13" x14ac:dyDescent="0.3">
      <c r="J46" t="s">
        <v>93</v>
      </c>
      <c r="K46" t="s">
        <v>128</v>
      </c>
      <c r="L46" t="s">
        <v>125</v>
      </c>
      <c r="M46">
        <v>2017</v>
      </c>
    </row>
    <row r="47" spans="10:13" x14ac:dyDescent="0.3">
      <c r="J47" t="s">
        <v>113</v>
      </c>
      <c r="K47" t="s">
        <v>128</v>
      </c>
      <c r="L47" t="s">
        <v>125</v>
      </c>
      <c r="M47">
        <v>2017</v>
      </c>
    </row>
    <row r="48" spans="10:13" x14ac:dyDescent="0.3">
      <c r="J48" t="s">
        <v>93</v>
      </c>
      <c r="K48" t="s">
        <v>128</v>
      </c>
      <c r="L48" t="s">
        <v>125</v>
      </c>
      <c r="M48">
        <v>2017</v>
      </c>
    </row>
    <row r="49" spans="10:13" x14ac:dyDescent="0.3">
      <c r="J49" t="s">
        <v>95</v>
      </c>
      <c r="K49" t="s">
        <v>128</v>
      </c>
      <c r="L49" t="s">
        <v>125</v>
      </c>
      <c r="M49">
        <v>2017</v>
      </c>
    </row>
    <row r="50" spans="10:13" x14ac:dyDescent="0.3">
      <c r="J50" t="s">
        <v>113</v>
      </c>
      <c r="K50" t="s">
        <v>128</v>
      </c>
      <c r="L50" t="s">
        <v>117</v>
      </c>
      <c r="M50">
        <v>2018</v>
      </c>
    </row>
    <row r="51" spans="10:13" x14ac:dyDescent="0.3">
      <c r="J51" t="s">
        <v>95</v>
      </c>
      <c r="K51" t="s">
        <v>128</v>
      </c>
      <c r="L51" t="s">
        <v>116</v>
      </c>
      <c r="M51">
        <v>2018</v>
      </c>
    </row>
    <row r="52" spans="10:13" x14ac:dyDescent="0.3">
      <c r="J52" t="s">
        <v>113</v>
      </c>
      <c r="K52" t="s">
        <v>128</v>
      </c>
      <c r="L52" t="s">
        <v>119</v>
      </c>
      <c r="M52">
        <v>2018</v>
      </c>
    </row>
    <row r="53" spans="10:13" x14ac:dyDescent="0.3">
      <c r="J53" t="s">
        <v>95</v>
      </c>
      <c r="K53" t="s">
        <v>128</v>
      </c>
      <c r="L53" t="s">
        <v>119</v>
      </c>
      <c r="M53">
        <v>2018</v>
      </c>
    </row>
    <row r="54" spans="10:13" x14ac:dyDescent="0.3">
      <c r="J54" t="s">
        <v>93</v>
      </c>
      <c r="K54" t="s">
        <v>128</v>
      </c>
      <c r="L54" t="s">
        <v>121</v>
      </c>
      <c r="M54">
        <v>2018</v>
      </c>
    </row>
    <row r="55" spans="10:13" x14ac:dyDescent="0.3">
      <c r="J55" t="s">
        <v>95</v>
      </c>
      <c r="K55" t="s">
        <v>128</v>
      </c>
      <c r="L55" t="s">
        <v>121</v>
      </c>
      <c r="M55">
        <v>2018</v>
      </c>
    </row>
    <row r="56" spans="10:13" x14ac:dyDescent="0.3">
      <c r="J56" t="s">
        <v>93</v>
      </c>
      <c r="K56" t="s">
        <v>128</v>
      </c>
      <c r="L56" t="s">
        <v>122</v>
      </c>
      <c r="M56">
        <v>2018</v>
      </c>
    </row>
    <row r="57" spans="10:13" x14ac:dyDescent="0.3">
      <c r="J57" t="s">
        <v>113</v>
      </c>
      <c r="K57" t="s">
        <v>128</v>
      </c>
      <c r="L57" t="s">
        <v>122</v>
      </c>
      <c r="M57">
        <v>2018</v>
      </c>
    </row>
    <row r="58" spans="10:13" x14ac:dyDescent="0.3">
      <c r="J58" t="s">
        <v>93</v>
      </c>
      <c r="K58" t="s">
        <v>128</v>
      </c>
      <c r="L58" t="s">
        <v>123</v>
      </c>
      <c r="M58">
        <v>2018</v>
      </c>
    </row>
    <row r="59" spans="10:13" x14ac:dyDescent="0.3">
      <c r="J59" t="s">
        <v>113</v>
      </c>
      <c r="K59" t="s">
        <v>128</v>
      </c>
      <c r="L59" t="s">
        <v>123</v>
      </c>
      <c r="M59">
        <v>2018</v>
      </c>
    </row>
    <row r="60" spans="10:13" x14ac:dyDescent="0.3">
      <c r="J60" t="s">
        <v>92</v>
      </c>
      <c r="K60" t="s">
        <v>128</v>
      </c>
      <c r="L60" t="s">
        <v>123</v>
      </c>
      <c r="M60">
        <v>2018</v>
      </c>
    </row>
    <row r="61" spans="10:13" x14ac:dyDescent="0.3">
      <c r="J61" t="s">
        <v>113</v>
      </c>
      <c r="K61" t="s">
        <v>128</v>
      </c>
      <c r="L61" t="s">
        <v>125</v>
      </c>
      <c r="M61">
        <v>2018</v>
      </c>
    </row>
    <row r="62" spans="10:13" x14ac:dyDescent="0.3">
      <c r="J62" t="s">
        <v>93</v>
      </c>
      <c r="K62" t="s">
        <v>128</v>
      </c>
      <c r="L62" t="s">
        <v>125</v>
      </c>
      <c r="M62">
        <v>2018</v>
      </c>
    </row>
    <row r="63" spans="10:13" x14ac:dyDescent="0.3">
      <c r="J63" t="s">
        <v>94</v>
      </c>
      <c r="K63" t="s">
        <v>128</v>
      </c>
      <c r="L63" t="s">
        <v>125</v>
      </c>
      <c r="M63">
        <v>2018</v>
      </c>
    </row>
    <row r="64" spans="10:13" x14ac:dyDescent="0.3">
      <c r="J64" t="s">
        <v>113</v>
      </c>
      <c r="K64" t="s">
        <v>128</v>
      </c>
      <c r="L64" t="s">
        <v>126</v>
      </c>
      <c r="M64">
        <v>2018</v>
      </c>
    </row>
    <row r="65" spans="10:13" x14ac:dyDescent="0.3">
      <c r="J65" t="s">
        <v>93</v>
      </c>
      <c r="K65" t="s">
        <v>128</v>
      </c>
      <c r="L65" t="s">
        <v>127</v>
      </c>
      <c r="M65">
        <v>2018</v>
      </c>
    </row>
    <row r="66" spans="10:13" x14ac:dyDescent="0.3">
      <c r="J66" t="s">
        <v>93</v>
      </c>
      <c r="K66" t="s">
        <v>128</v>
      </c>
      <c r="L66" t="s">
        <v>127</v>
      </c>
      <c r="M66">
        <v>2018</v>
      </c>
    </row>
    <row r="67" spans="10:13" x14ac:dyDescent="0.3">
      <c r="J67" t="s">
        <v>93</v>
      </c>
      <c r="K67" t="s">
        <v>128</v>
      </c>
      <c r="L67" t="s">
        <v>127</v>
      </c>
      <c r="M67">
        <v>2018</v>
      </c>
    </row>
    <row r="68" spans="10:13" x14ac:dyDescent="0.3">
      <c r="J68" t="s">
        <v>93</v>
      </c>
      <c r="K68" t="s">
        <v>128</v>
      </c>
      <c r="L68" t="s">
        <v>117</v>
      </c>
      <c r="M68">
        <v>2019</v>
      </c>
    </row>
    <row r="69" spans="10:13" x14ac:dyDescent="0.3">
      <c r="J69" t="s">
        <v>93</v>
      </c>
      <c r="K69" t="s">
        <v>128</v>
      </c>
      <c r="L69" t="s">
        <v>117</v>
      </c>
      <c r="M69">
        <v>2019</v>
      </c>
    </row>
    <row r="70" spans="10:13" x14ac:dyDescent="0.3">
      <c r="J70" t="s">
        <v>113</v>
      </c>
      <c r="K70" t="s">
        <v>128</v>
      </c>
      <c r="L70" t="s">
        <v>117</v>
      </c>
      <c r="M70">
        <v>2019</v>
      </c>
    </row>
    <row r="71" spans="10:13" x14ac:dyDescent="0.3">
      <c r="J71" t="s">
        <v>93</v>
      </c>
      <c r="K71" t="s">
        <v>128</v>
      </c>
      <c r="L71" t="s">
        <v>117</v>
      </c>
      <c r="M71">
        <v>2019</v>
      </c>
    </row>
    <row r="72" spans="10:13" x14ac:dyDescent="0.3">
      <c r="J72" t="s">
        <v>113</v>
      </c>
      <c r="K72" t="s">
        <v>128</v>
      </c>
      <c r="L72" t="s">
        <v>118</v>
      </c>
      <c r="M72">
        <v>2019</v>
      </c>
    </row>
    <row r="73" spans="10:13" x14ac:dyDescent="0.3">
      <c r="J73" t="s">
        <v>93</v>
      </c>
      <c r="K73" t="s">
        <v>128</v>
      </c>
      <c r="L73" t="s">
        <v>116</v>
      </c>
      <c r="M73">
        <v>2019</v>
      </c>
    </row>
    <row r="74" spans="10:13" x14ac:dyDescent="0.3">
      <c r="J74" t="s">
        <v>113</v>
      </c>
      <c r="K74" t="s">
        <v>128</v>
      </c>
      <c r="L74" t="s">
        <v>116</v>
      </c>
      <c r="M74">
        <v>2019</v>
      </c>
    </row>
    <row r="75" spans="10:13" x14ac:dyDescent="0.3">
      <c r="J75" t="s">
        <v>93</v>
      </c>
      <c r="K75" t="s">
        <v>128</v>
      </c>
      <c r="L75" t="s">
        <v>116</v>
      </c>
      <c r="M75">
        <v>2019</v>
      </c>
    </row>
    <row r="76" spans="10:13" x14ac:dyDescent="0.3">
      <c r="J76" t="s">
        <v>93</v>
      </c>
      <c r="K76" t="s">
        <v>128</v>
      </c>
      <c r="L76" t="s">
        <v>119</v>
      </c>
      <c r="M76">
        <v>2019</v>
      </c>
    </row>
    <row r="77" spans="10:13" x14ac:dyDescent="0.3">
      <c r="J77" t="s">
        <v>93</v>
      </c>
      <c r="K77" t="s">
        <v>128</v>
      </c>
      <c r="L77" t="s">
        <v>119</v>
      </c>
      <c r="M77">
        <v>2019</v>
      </c>
    </row>
    <row r="78" spans="10:13" x14ac:dyDescent="0.3">
      <c r="J78" t="s">
        <v>93</v>
      </c>
      <c r="K78" t="s">
        <v>128</v>
      </c>
      <c r="L78" t="s">
        <v>120</v>
      </c>
      <c r="M78">
        <v>2019</v>
      </c>
    </row>
    <row r="79" spans="10:13" x14ac:dyDescent="0.3">
      <c r="J79" t="s">
        <v>94</v>
      </c>
      <c r="K79" t="s">
        <v>128</v>
      </c>
      <c r="L79" t="s">
        <v>121</v>
      </c>
      <c r="M79">
        <v>2019</v>
      </c>
    </row>
    <row r="80" spans="10:13" x14ac:dyDescent="0.3">
      <c r="J80" t="s">
        <v>113</v>
      </c>
      <c r="K80" t="s">
        <v>128</v>
      </c>
      <c r="L80" t="s">
        <v>121</v>
      </c>
      <c r="M80">
        <v>2019</v>
      </c>
    </row>
    <row r="81" spans="10:13" x14ac:dyDescent="0.3">
      <c r="J81" t="s">
        <v>93</v>
      </c>
      <c r="K81" t="s">
        <v>128</v>
      </c>
      <c r="L81" t="s">
        <v>122</v>
      </c>
      <c r="M81">
        <v>2019</v>
      </c>
    </row>
    <row r="82" spans="10:13" x14ac:dyDescent="0.3">
      <c r="J82" t="s">
        <v>113</v>
      </c>
      <c r="K82" t="s">
        <v>128</v>
      </c>
      <c r="L82" t="s">
        <v>123</v>
      </c>
      <c r="M82">
        <v>2019</v>
      </c>
    </row>
    <row r="83" spans="10:13" x14ac:dyDescent="0.3">
      <c r="J83" t="s">
        <v>93</v>
      </c>
      <c r="K83" t="s">
        <v>128</v>
      </c>
      <c r="L83" t="s">
        <v>123</v>
      </c>
      <c r="M83">
        <v>2019</v>
      </c>
    </row>
    <row r="84" spans="10:13" x14ac:dyDescent="0.3">
      <c r="J84" t="s">
        <v>95</v>
      </c>
      <c r="K84" t="s">
        <v>128</v>
      </c>
      <c r="L84" t="s">
        <v>124</v>
      </c>
      <c r="M84">
        <v>2019</v>
      </c>
    </row>
    <row r="85" spans="10:13" x14ac:dyDescent="0.3">
      <c r="J85" t="s">
        <v>113</v>
      </c>
      <c r="K85" t="s">
        <v>128</v>
      </c>
      <c r="L85" t="s">
        <v>124</v>
      </c>
      <c r="M85">
        <v>2019</v>
      </c>
    </row>
    <row r="86" spans="10:13" x14ac:dyDescent="0.3">
      <c r="J86" t="s">
        <v>93</v>
      </c>
      <c r="K86" t="s">
        <v>128</v>
      </c>
      <c r="L86" t="s">
        <v>125</v>
      </c>
      <c r="M86">
        <v>2019</v>
      </c>
    </row>
    <row r="87" spans="10:13" x14ac:dyDescent="0.3">
      <c r="J87" t="s">
        <v>93</v>
      </c>
      <c r="K87" t="s">
        <v>128</v>
      </c>
      <c r="L87" t="s">
        <v>125</v>
      </c>
      <c r="M87">
        <v>2019</v>
      </c>
    </row>
    <row r="88" spans="10:13" x14ac:dyDescent="0.3">
      <c r="J88" t="s">
        <v>113</v>
      </c>
      <c r="K88" t="s">
        <v>128</v>
      </c>
      <c r="L88" t="s">
        <v>126</v>
      </c>
      <c r="M88">
        <v>2019</v>
      </c>
    </row>
    <row r="89" spans="10:13" x14ac:dyDescent="0.3">
      <c r="J89" t="s">
        <v>113</v>
      </c>
      <c r="K89" t="s">
        <v>128</v>
      </c>
      <c r="L89" t="s">
        <v>126</v>
      </c>
      <c r="M89">
        <v>2019</v>
      </c>
    </row>
    <row r="90" spans="10:13" x14ac:dyDescent="0.3">
      <c r="J90" t="s">
        <v>93</v>
      </c>
      <c r="K90" t="s">
        <v>128</v>
      </c>
      <c r="L90" t="s">
        <v>126</v>
      </c>
      <c r="M90">
        <v>2019</v>
      </c>
    </row>
    <row r="91" spans="10:13" x14ac:dyDescent="0.3">
      <c r="J91" t="s">
        <v>94</v>
      </c>
      <c r="K91" t="s">
        <v>128</v>
      </c>
      <c r="L91" t="s">
        <v>127</v>
      </c>
      <c r="M91">
        <v>2019</v>
      </c>
    </row>
    <row r="92" spans="10:13" x14ac:dyDescent="0.3">
      <c r="J92" t="s">
        <v>95</v>
      </c>
      <c r="K92" t="s">
        <v>128</v>
      </c>
      <c r="L92" t="s">
        <v>127</v>
      </c>
      <c r="M92">
        <v>2019</v>
      </c>
    </row>
    <row r="93" spans="10:13" x14ac:dyDescent="0.3">
      <c r="J93" t="s">
        <v>95</v>
      </c>
      <c r="K93" t="s">
        <v>128</v>
      </c>
      <c r="L93" t="s">
        <v>127</v>
      </c>
      <c r="M93">
        <v>2019</v>
      </c>
    </row>
    <row r="94" spans="10:13" x14ac:dyDescent="0.3">
      <c r="J94" t="s">
        <v>113</v>
      </c>
      <c r="K94" t="s">
        <v>128</v>
      </c>
      <c r="L94" t="s">
        <v>127</v>
      </c>
      <c r="M94">
        <v>2019</v>
      </c>
    </row>
    <row r="95" spans="10:13" x14ac:dyDescent="0.3">
      <c r="J95" t="s">
        <v>93</v>
      </c>
      <c r="K95" t="s">
        <v>128</v>
      </c>
      <c r="L95" t="s">
        <v>117</v>
      </c>
      <c r="M95">
        <v>2020</v>
      </c>
    </row>
    <row r="96" spans="10:13" x14ac:dyDescent="0.3">
      <c r="J96" t="s">
        <v>113</v>
      </c>
      <c r="K96" t="s">
        <v>128</v>
      </c>
      <c r="L96" t="s">
        <v>116</v>
      </c>
      <c r="M96">
        <v>2020</v>
      </c>
    </row>
    <row r="97" spans="10:13" x14ac:dyDescent="0.3">
      <c r="J97" t="s">
        <v>93</v>
      </c>
      <c r="K97" t="s">
        <v>128</v>
      </c>
      <c r="L97" t="s">
        <v>119</v>
      </c>
      <c r="M97">
        <v>2020</v>
      </c>
    </row>
    <row r="98" spans="10:13" x14ac:dyDescent="0.3">
      <c r="J98" t="s">
        <v>113</v>
      </c>
      <c r="K98" t="s">
        <v>128</v>
      </c>
      <c r="L98" t="s">
        <v>119</v>
      </c>
      <c r="M98">
        <v>2020</v>
      </c>
    </row>
    <row r="99" spans="10:13" x14ac:dyDescent="0.3">
      <c r="J99" t="s">
        <v>95</v>
      </c>
      <c r="K99" t="s">
        <v>128</v>
      </c>
      <c r="L99" t="s">
        <v>120</v>
      </c>
      <c r="M99">
        <v>2020</v>
      </c>
    </row>
    <row r="100" spans="10:13" x14ac:dyDescent="0.3">
      <c r="J100" t="s">
        <v>94</v>
      </c>
      <c r="K100" t="s">
        <v>128</v>
      </c>
      <c r="L100" t="s">
        <v>120</v>
      </c>
      <c r="M100">
        <v>2020</v>
      </c>
    </row>
    <row r="101" spans="10:13" x14ac:dyDescent="0.3">
      <c r="J101" t="s">
        <v>113</v>
      </c>
      <c r="K101" t="s">
        <v>128</v>
      </c>
      <c r="L101" t="s">
        <v>120</v>
      </c>
      <c r="M101">
        <v>2020</v>
      </c>
    </row>
    <row r="102" spans="10:13" x14ac:dyDescent="0.3">
      <c r="J102" t="s">
        <v>93</v>
      </c>
      <c r="K102" t="s">
        <v>128</v>
      </c>
      <c r="L102" t="s">
        <v>122</v>
      </c>
      <c r="M102">
        <v>2020</v>
      </c>
    </row>
    <row r="103" spans="10:13" x14ac:dyDescent="0.3">
      <c r="J103" t="s">
        <v>93</v>
      </c>
      <c r="K103" t="s">
        <v>128</v>
      </c>
      <c r="L103" t="s">
        <v>122</v>
      </c>
      <c r="M103">
        <v>2020</v>
      </c>
    </row>
    <row r="104" spans="10:13" x14ac:dyDescent="0.3">
      <c r="J104" t="s">
        <v>95</v>
      </c>
      <c r="K104" t="s">
        <v>128</v>
      </c>
      <c r="L104" t="s">
        <v>123</v>
      </c>
      <c r="M104">
        <v>2020</v>
      </c>
    </row>
    <row r="105" spans="10:13" x14ac:dyDescent="0.3">
      <c r="J105" t="s">
        <v>92</v>
      </c>
      <c r="K105" t="s">
        <v>128</v>
      </c>
      <c r="L105" t="s">
        <v>125</v>
      </c>
      <c r="M105">
        <v>2020</v>
      </c>
    </row>
    <row r="106" spans="10:13" x14ac:dyDescent="0.3">
      <c r="J106" t="s">
        <v>93</v>
      </c>
      <c r="K106" t="s">
        <v>128</v>
      </c>
      <c r="L106" t="s">
        <v>125</v>
      </c>
      <c r="M106">
        <v>2020</v>
      </c>
    </row>
    <row r="107" spans="10:13" x14ac:dyDescent="0.3">
      <c r="J107" t="s">
        <v>93</v>
      </c>
      <c r="K107" t="s">
        <v>128</v>
      </c>
      <c r="L107" t="s">
        <v>125</v>
      </c>
      <c r="M107">
        <v>2020</v>
      </c>
    </row>
    <row r="108" spans="10:13" x14ac:dyDescent="0.3">
      <c r="J108" t="s">
        <v>93</v>
      </c>
      <c r="K108" t="s">
        <v>128</v>
      </c>
      <c r="L108" t="s">
        <v>125</v>
      </c>
      <c r="M108">
        <v>2020</v>
      </c>
    </row>
    <row r="109" spans="10:13" x14ac:dyDescent="0.3">
      <c r="J109" t="s">
        <v>95</v>
      </c>
      <c r="K109" t="s">
        <v>128</v>
      </c>
      <c r="L109" t="s">
        <v>125</v>
      </c>
      <c r="M109">
        <v>2020</v>
      </c>
    </row>
    <row r="110" spans="10:13" x14ac:dyDescent="0.3">
      <c r="J110" t="s">
        <v>93</v>
      </c>
      <c r="K110" t="s">
        <v>128</v>
      </c>
      <c r="L110" t="s">
        <v>126</v>
      </c>
      <c r="M110">
        <v>2020</v>
      </c>
    </row>
    <row r="111" spans="10:13" x14ac:dyDescent="0.3">
      <c r="J111" t="s">
        <v>93</v>
      </c>
      <c r="K111" t="s">
        <v>128</v>
      </c>
      <c r="L111" t="s">
        <v>127</v>
      </c>
      <c r="M111">
        <v>2020</v>
      </c>
    </row>
    <row r="112" spans="10:13" x14ac:dyDescent="0.3">
      <c r="J112" t="s">
        <v>92</v>
      </c>
      <c r="K112" t="s">
        <v>128</v>
      </c>
      <c r="L112" t="s">
        <v>127</v>
      </c>
      <c r="M112">
        <v>2020</v>
      </c>
    </row>
    <row r="113" spans="10:13" x14ac:dyDescent="0.3">
      <c r="J113" t="s">
        <v>94</v>
      </c>
      <c r="K113" t="s">
        <v>128</v>
      </c>
      <c r="L113" t="s">
        <v>117</v>
      </c>
      <c r="M113">
        <v>2021</v>
      </c>
    </row>
    <row r="114" spans="10:13" x14ac:dyDescent="0.3">
      <c r="J114" t="s">
        <v>93</v>
      </c>
      <c r="K114" t="s">
        <v>128</v>
      </c>
      <c r="L114" t="s">
        <v>117</v>
      </c>
      <c r="M114">
        <v>2021</v>
      </c>
    </row>
    <row r="115" spans="10:13" x14ac:dyDescent="0.3">
      <c r="J115" t="s">
        <v>95</v>
      </c>
      <c r="K115" t="s">
        <v>128</v>
      </c>
      <c r="L115" t="s">
        <v>117</v>
      </c>
      <c r="M115">
        <v>2021</v>
      </c>
    </row>
    <row r="116" spans="10:13" x14ac:dyDescent="0.3">
      <c r="J116" t="s">
        <v>113</v>
      </c>
      <c r="K116" t="s">
        <v>128</v>
      </c>
      <c r="L116" t="s">
        <v>116</v>
      </c>
      <c r="M116">
        <v>2021</v>
      </c>
    </row>
    <row r="117" spans="10:13" x14ac:dyDescent="0.3">
      <c r="J117" t="s">
        <v>93</v>
      </c>
      <c r="K117" t="s">
        <v>128</v>
      </c>
      <c r="L117" t="s">
        <v>116</v>
      </c>
      <c r="M117">
        <v>2021</v>
      </c>
    </row>
    <row r="118" spans="10:13" x14ac:dyDescent="0.3">
      <c r="J118" t="s">
        <v>93</v>
      </c>
      <c r="K118" t="s">
        <v>128</v>
      </c>
      <c r="L118" t="s">
        <v>116</v>
      </c>
      <c r="M118">
        <v>2021</v>
      </c>
    </row>
    <row r="119" spans="10:13" x14ac:dyDescent="0.3">
      <c r="J119" t="s">
        <v>95</v>
      </c>
      <c r="K119" t="s">
        <v>128</v>
      </c>
      <c r="L119" t="s">
        <v>116</v>
      </c>
      <c r="M119">
        <v>2021</v>
      </c>
    </row>
    <row r="120" spans="10:13" x14ac:dyDescent="0.3">
      <c r="J120" t="s">
        <v>95</v>
      </c>
      <c r="K120" t="s">
        <v>128</v>
      </c>
      <c r="L120" t="s">
        <v>116</v>
      </c>
      <c r="M120">
        <v>2021</v>
      </c>
    </row>
    <row r="121" spans="10:13" x14ac:dyDescent="0.3">
      <c r="J121" t="s">
        <v>93</v>
      </c>
      <c r="K121" t="s">
        <v>128</v>
      </c>
      <c r="L121" t="s">
        <v>116</v>
      </c>
      <c r="M121">
        <v>2021</v>
      </c>
    </row>
    <row r="122" spans="10:13" x14ac:dyDescent="0.3">
      <c r="J122" t="s">
        <v>93</v>
      </c>
      <c r="K122" t="s">
        <v>128</v>
      </c>
      <c r="L122" t="s">
        <v>119</v>
      </c>
      <c r="M122">
        <v>2021</v>
      </c>
    </row>
    <row r="123" spans="10:13" x14ac:dyDescent="0.3">
      <c r="J123" t="s">
        <v>95</v>
      </c>
      <c r="K123" t="s">
        <v>128</v>
      </c>
      <c r="L123" t="s">
        <v>119</v>
      </c>
      <c r="M123">
        <v>2021</v>
      </c>
    </row>
    <row r="124" spans="10:13" x14ac:dyDescent="0.3">
      <c r="J124" t="s">
        <v>93</v>
      </c>
      <c r="K124" t="s">
        <v>128</v>
      </c>
      <c r="L124" t="s">
        <v>121</v>
      </c>
      <c r="M124">
        <v>2021</v>
      </c>
    </row>
    <row r="125" spans="10:13" x14ac:dyDescent="0.3">
      <c r="J125" t="s">
        <v>95</v>
      </c>
      <c r="K125" t="s">
        <v>128</v>
      </c>
      <c r="L125" t="s">
        <v>121</v>
      </c>
      <c r="M125">
        <v>2021</v>
      </c>
    </row>
    <row r="126" spans="10:13" x14ac:dyDescent="0.3">
      <c r="J126" t="s">
        <v>95</v>
      </c>
      <c r="K126" t="s">
        <v>128</v>
      </c>
      <c r="L126" t="s">
        <v>124</v>
      </c>
      <c r="M126">
        <v>2021</v>
      </c>
    </row>
    <row r="127" spans="10:13" x14ac:dyDescent="0.3">
      <c r="J127" t="s">
        <v>93</v>
      </c>
      <c r="K127" t="s">
        <v>128</v>
      </c>
      <c r="L127" t="s">
        <v>125</v>
      </c>
      <c r="M127">
        <v>2021</v>
      </c>
    </row>
    <row r="128" spans="10:13" x14ac:dyDescent="0.3">
      <c r="J128" t="s">
        <v>92</v>
      </c>
      <c r="K128" t="s">
        <v>128</v>
      </c>
      <c r="L128" t="s">
        <v>125</v>
      </c>
      <c r="M128">
        <v>2021</v>
      </c>
    </row>
    <row r="129" spans="10:13" x14ac:dyDescent="0.3">
      <c r="J129" t="s">
        <v>113</v>
      </c>
      <c r="K129" t="s">
        <v>128</v>
      </c>
      <c r="L129" t="s">
        <v>125</v>
      </c>
      <c r="M129">
        <v>2021</v>
      </c>
    </row>
    <row r="130" spans="10:13" x14ac:dyDescent="0.3">
      <c r="J130" t="s">
        <v>93</v>
      </c>
      <c r="K130" t="s">
        <v>128</v>
      </c>
      <c r="L130" t="s">
        <v>126</v>
      </c>
      <c r="M130">
        <v>2021</v>
      </c>
    </row>
    <row r="131" spans="10:13" x14ac:dyDescent="0.3">
      <c r="J131" t="s">
        <v>113</v>
      </c>
      <c r="K131" t="s">
        <v>128</v>
      </c>
      <c r="L131" t="s">
        <v>126</v>
      </c>
      <c r="M131">
        <v>2021</v>
      </c>
    </row>
    <row r="132" spans="10:13" x14ac:dyDescent="0.3">
      <c r="J132" t="s">
        <v>95</v>
      </c>
      <c r="K132" t="s">
        <v>128</v>
      </c>
      <c r="L132" t="s">
        <v>126</v>
      </c>
      <c r="M132">
        <v>2021</v>
      </c>
    </row>
    <row r="133" spans="10:13" x14ac:dyDescent="0.3">
      <c r="J133" t="s">
        <v>92</v>
      </c>
      <c r="K133" t="s">
        <v>128</v>
      </c>
      <c r="L133" t="s">
        <v>127</v>
      </c>
      <c r="M133">
        <v>2021</v>
      </c>
    </row>
    <row r="134" spans="10:13" x14ac:dyDescent="0.3">
      <c r="J134" t="s">
        <v>113</v>
      </c>
      <c r="K134" t="s">
        <v>128</v>
      </c>
      <c r="L134" t="s">
        <v>118</v>
      </c>
      <c r="M134">
        <v>2022</v>
      </c>
    </row>
    <row r="135" spans="10:13" x14ac:dyDescent="0.3">
      <c r="J135" t="s">
        <v>113</v>
      </c>
      <c r="K135" t="s">
        <v>128</v>
      </c>
      <c r="L135" t="s">
        <v>118</v>
      </c>
      <c r="M135">
        <v>2022</v>
      </c>
    </row>
    <row r="136" spans="10:13" x14ac:dyDescent="0.3">
      <c r="J136" t="s">
        <v>95</v>
      </c>
      <c r="K136" t="s">
        <v>128</v>
      </c>
      <c r="L136" t="s">
        <v>116</v>
      </c>
      <c r="M136">
        <v>2022</v>
      </c>
    </row>
    <row r="137" spans="10:13" x14ac:dyDescent="0.3">
      <c r="J137" t="s">
        <v>94</v>
      </c>
      <c r="K137" t="s">
        <v>128</v>
      </c>
      <c r="L137" t="s">
        <v>119</v>
      </c>
      <c r="M137">
        <v>2022</v>
      </c>
    </row>
    <row r="138" spans="10:13" x14ac:dyDescent="0.3">
      <c r="J138" t="s">
        <v>93</v>
      </c>
      <c r="K138" t="s">
        <v>128</v>
      </c>
      <c r="L138" t="s">
        <v>119</v>
      </c>
      <c r="M138">
        <v>2022</v>
      </c>
    </row>
    <row r="139" spans="10:13" x14ac:dyDescent="0.3">
      <c r="J139" t="s">
        <v>95</v>
      </c>
      <c r="K139" t="s">
        <v>128</v>
      </c>
      <c r="L139" t="s">
        <v>120</v>
      </c>
      <c r="M139">
        <v>2022</v>
      </c>
    </row>
    <row r="140" spans="10:13" x14ac:dyDescent="0.3">
      <c r="J140" t="s">
        <v>113</v>
      </c>
      <c r="K140" t="s">
        <v>128</v>
      </c>
      <c r="L140" t="s">
        <v>120</v>
      </c>
      <c r="M140">
        <v>2022</v>
      </c>
    </row>
    <row r="141" spans="10:13" x14ac:dyDescent="0.3">
      <c r="J141" t="s">
        <v>95</v>
      </c>
      <c r="K141" t="s">
        <v>128</v>
      </c>
      <c r="L141" t="s">
        <v>121</v>
      </c>
      <c r="M141">
        <v>2022</v>
      </c>
    </row>
    <row r="142" spans="10:13" x14ac:dyDescent="0.3">
      <c r="J142" t="s">
        <v>113</v>
      </c>
      <c r="K142" t="s">
        <v>128</v>
      </c>
      <c r="L142" t="s">
        <v>122</v>
      </c>
      <c r="M142">
        <v>2022</v>
      </c>
    </row>
    <row r="143" spans="10:13" x14ac:dyDescent="0.3">
      <c r="J143" t="s">
        <v>93</v>
      </c>
      <c r="K143" t="s">
        <v>128</v>
      </c>
      <c r="L143" t="s">
        <v>123</v>
      </c>
      <c r="M143">
        <v>2022</v>
      </c>
    </row>
    <row r="144" spans="10:13" x14ac:dyDescent="0.3">
      <c r="J144" t="s">
        <v>113</v>
      </c>
      <c r="K144" t="s">
        <v>128</v>
      </c>
      <c r="L144" t="s">
        <v>123</v>
      </c>
      <c r="M144">
        <v>2022</v>
      </c>
    </row>
    <row r="145" spans="10:13" x14ac:dyDescent="0.3">
      <c r="J145" t="s">
        <v>95</v>
      </c>
      <c r="K145" t="s">
        <v>128</v>
      </c>
      <c r="L145" t="s">
        <v>124</v>
      </c>
      <c r="M145">
        <v>2022</v>
      </c>
    </row>
    <row r="146" spans="10:13" x14ac:dyDescent="0.3">
      <c r="J146" t="s">
        <v>113</v>
      </c>
      <c r="K146" t="s">
        <v>128</v>
      </c>
      <c r="L146" t="s">
        <v>125</v>
      </c>
      <c r="M146">
        <v>2022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DEC4-8B9D-41AB-A2A7-937F1643583C}">
  <sheetPr codeName="Sheet5"/>
  <dimension ref="B1:J22"/>
  <sheetViews>
    <sheetView workbookViewId="0">
      <selection activeCell="C2" sqref="B2:C17"/>
    </sheetView>
  </sheetViews>
  <sheetFormatPr defaultRowHeight="14.4" x14ac:dyDescent="0.3"/>
  <cols>
    <col min="2" max="2" width="36.44140625" customWidth="1"/>
    <col min="3" max="3" width="29" customWidth="1"/>
    <col min="7" max="7" width="13.21875" customWidth="1"/>
    <col min="8" max="8" width="12" customWidth="1"/>
  </cols>
  <sheetData>
    <row r="1" spans="2:10" ht="24" customHeight="1" x14ac:dyDescent="0.3">
      <c r="B1" t="s">
        <v>132</v>
      </c>
    </row>
    <row r="2" spans="2:10" ht="18" customHeight="1" x14ac:dyDescent="0.3">
      <c r="B2" t="s">
        <v>133</v>
      </c>
      <c r="C2" t="s">
        <v>134</v>
      </c>
      <c r="G2" s="41" t="s">
        <v>137</v>
      </c>
      <c r="H2" t="s">
        <v>140</v>
      </c>
      <c r="I2" s="41" t="s">
        <v>144</v>
      </c>
      <c r="J2">
        <f ca="1">RANDBETWEEN(10000,100000)</f>
        <v>91068</v>
      </c>
    </row>
    <row r="3" spans="2:10" x14ac:dyDescent="0.3">
      <c r="B3" t="s">
        <v>133</v>
      </c>
      <c r="C3" t="s">
        <v>134</v>
      </c>
      <c r="G3" s="41"/>
      <c r="H3" t="s">
        <v>141</v>
      </c>
      <c r="I3" s="41"/>
      <c r="J3">
        <f t="shared" ref="J3:J5" ca="1" si="0">RANDBETWEEN(10000,100000)</f>
        <v>28087</v>
      </c>
    </row>
    <row r="4" spans="2:10" x14ac:dyDescent="0.3">
      <c r="B4" t="s">
        <v>133</v>
      </c>
      <c r="C4" t="s">
        <v>134</v>
      </c>
      <c r="G4" s="41"/>
      <c r="H4" t="s">
        <v>142</v>
      </c>
      <c r="I4" s="41"/>
      <c r="J4">
        <f t="shared" ca="1" si="0"/>
        <v>73019</v>
      </c>
    </row>
    <row r="5" spans="2:10" x14ac:dyDescent="0.3">
      <c r="B5" t="s">
        <v>133</v>
      </c>
      <c r="C5" t="s">
        <v>134</v>
      </c>
      <c r="G5" s="41"/>
      <c r="H5" t="s">
        <v>143</v>
      </c>
      <c r="I5" s="41"/>
      <c r="J5">
        <f t="shared" ca="1" si="0"/>
        <v>78092</v>
      </c>
    </row>
    <row r="6" spans="2:10" x14ac:dyDescent="0.3">
      <c r="B6" t="s">
        <v>133</v>
      </c>
      <c r="C6" t="s">
        <v>134</v>
      </c>
    </row>
    <row r="7" spans="2:10" x14ac:dyDescent="0.3">
      <c r="B7" t="s">
        <v>133</v>
      </c>
      <c r="C7" t="s">
        <v>134</v>
      </c>
    </row>
    <row r="8" spans="2:10" x14ac:dyDescent="0.3">
      <c r="B8" t="s">
        <v>133</v>
      </c>
      <c r="C8" t="s">
        <v>134</v>
      </c>
    </row>
    <row r="9" spans="2:10" x14ac:dyDescent="0.3">
      <c r="B9" t="s">
        <v>133</v>
      </c>
      <c r="C9" t="s">
        <v>134</v>
      </c>
    </row>
    <row r="10" spans="2:10" x14ac:dyDescent="0.3">
      <c r="B10" t="s">
        <v>133</v>
      </c>
      <c r="C10" t="s">
        <v>134</v>
      </c>
    </row>
    <row r="11" spans="2:10" x14ac:dyDescent="0.3">
      <c r="B11" t="s">
        <v>133</v>
      </c>
      <c r="C11" t="s">
        <v>134</v>
      </c>
    </row>
    <row r="12" spans="2:10" x14ac:dyDescent="0.3">
      <c r="B12" t="s">
        <v>133</v>
      </c>
      <c r="C12" t="s">
        <v>134</v>
      </c>
    </row>
    <row r="13" spans="2:10" x14ac:dyDescent="0.3">
      <c r="B13" t="s">
        <v>133</v>
      </c>
      <c r="C13" t="s">
        <v>134</v>
      </c>
    </row>
    <row r="14" spans="2:10" x14ac:dyDescent="0.3">
      <c r="B14" t="s">
        <v>133</v>
      </c>
      <c r="C14" t="s">
        <v>134</v>
      </c>
    </row>
    <row r="15" spans="2:10" x14ac:dyDescent="0.3">
      <c r="B15" t="s">
        <v>133</v>
      </c>
      <c r="C15" t="s">
        <v>134</v>
      </c>
    </row>
    <row r="16" spans="2:10" x14ac:dyDescent="0.3">
      <c r="B16" t="s">
        <v>133</v>
      </c>
      <c r="C16" t="s">
        <v>134</v>
      </c>
    </row>
    <row r="17" spans="2:5" x14ac:dyDescent="0.3">
      <c r="B17" t="s">
        <v>133</v>
      </c>
      <c r="C17" t="s">
        <v>134</v>
      </c>
    </row>
    <row r="20" spans="2:5" x14ac:dyDescent="0.3">
      <c r="B20" t="s">
        <v>135</v>
      </c>
    </row>
    <row r="22" spans="2:5" x14ac:dyDescent="0.3">
      <c r="B22" t="s">
        <v>136</v>
      </c>
      <c r="C22" t="s">
        <v>137</v>
      </c>
      <c r="D22" t="s">
        <v>138</v>
      </c>
      <c r="E22" t="s">
        <v>139</v>
      </c>
    </row>
  </sheetData>
  <mergeCells count="2">
    <mergeCell ref="G2:G5"/>
    <mergeCell ref="I2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F582-4EC8-4298-8764-8A2CA71ECC24}">
  <sheetPr codeName="Sheet6"/>
  <dimension ref="D5:H12"/>
  <sheetViews>
    <sheetView workbookViewId="0">
      <selection activeCell="G9" sqref="G9"/>
    </sheetView>
  </sheetViews>
  <sheetFormatPr defaultRowHeight="14.4" x14ac:dyDescent="0.3"/>
  <cols>
    <col min="3" max="3" width="13.33203125" bestFit="1" customWidth="1"/>
    <col min="4" max="4" width="14" bestFit="1" customWidth="1"/>
    <col min="5" max="5" width="6" bestFit="1" customWidth="1"/>
    <col min="6" max="6" width="6.109375" bestFit="1" customWidth="1"/>
    <col min="7" max="7" width="9.5546875" bestFit="1" customWidth="1"/>
    <col min="8" max="8" width="10.88671875" bestFit="1" customWidth="1"/>
  </cols>
  <sheetData>
    <row r="5" spans="4:8" x14ac:dyDescent="0.3">
      <c r="D5" t="s">
        <v>91</v>
      </c>
      <c r="E5" t="s">
        <v>128</v>
      </c>
      <c r="F5" t="s">
        <v>112</v>
      </c>
      <c r="G5" t="s">
        <v>152</v>
      </c>
      <c r="H5" t="s">
        <v>150</v>
      </c>
    </row>
    <row r="6" spans="4:8" x14ac:dyDescent="0.3">
      <c r="D6" t="s">
        <v>211</v>
      </c>
      <c r="E6">
        <v>43469</v>
      </c>
      <c r="F6">
        <v>7000</v>
      </c>
      <c r="G6">
        <v>11931</v>
      </c>
      <c r="H6">
        <v>100</v>
      </c>
    </row>
    <row r="7" spans="4:8" x14ac:dyDescent="0.3">
      <c r="D7" t="s">
        <v>92</v>
      </c>
      <c r="H7">
        <v>10368</v>
      </c>
    </row>
    <row r="8" spans="4:8" x14ac:dyDescent="0.3">
      <c r="D8" t="s">
        <v>93</v>
      </c>
      <c r="E8">
        <v>75505</v>
      </c>
      <c r="F8">
        <v>19000</v>
      </c>
      <c r="G8">
        <v>16639</v>
      </c>
      <c r="H8">
        <v>29612</v>
      </c>
    </row>
    <row r="9" spans="4:8" x14ac:dyDescent="0.3">
      <c r="D9" t="s">
        <v>94</v>
      </c>
      <c r="H9">
        <v>124</v>
      </c>
    </row>
    <row r="10" spans="4:8" x14ac:dyDescent="0.3">
      <c r="D10" t="s">
        <v>95</v>
      </c>
      <c r="F10">
        <v>11095</v>
      </c>
      <c r="H10">
        <v>5000</v>
      </c>
    </row>
    <row r="11" spans="4:8" x14ac:dyDescent="0.3">
      <c r="D11" t="s">
        <v>113</v>
      </c>
      <c r="E11">
        <v>49068</v>
      </c>
      <c r="G11">
        <v>12842</v>
      </c>
      <c r="H11">
        <v>11314</v>
      </c>
    </row>
    <row r="12" spans="4:8" x14ac:dyDescent="0.3">
      <c r="D12" t="s">
        <v>151</v>
      </c>
      <c r="E12">
        <v>26710</v>
      </c>
      <c r="G12">
        <v>2878</v>
      </c>
      <c r="H12">
        <v>10466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3F18-38C3-4AA0-9326-3CFB9FB35A7F}">
  <sheetPr codeName="Sheet7"/>
  <dimension ref="A1:L725"/>
  <sheetViews>
    <sheetView topLeftCell="A697" workbookViewId="0">
      <selection sqref="A1:C725"/>
    </sheetView>
  </sheetViews>
  <sheetFormatPr defaultRowHeight="14.4" x14ac:dyDescent="0.3"/>
  <cols>
    <col min="1" max="1" width="16.21875" bestFit="1" customWidth="1"/>
    <col min="2" max="2" width="12.21875" bestFit="1" customWidth="1"/>
    <col min="3" max="3" width="11.44140625" customWidth="1"/>
    <col min="7" max="7" width="13.33203125" bestFit="1" customWidth="1"/>
    <col min="8" max="8" width="8" bestFit="1" customWidth="1"/>
    <col min="9" max="9" width="10.44140625" customWidth="1"/>
    <col min="11" max="11" width="14" bestFit="1" customWidth="1"/>
    <col min="12" max="12" width="14.33203125" customWidth="1"/>
  </cols>
  <sheetData>
    <row r="1" spans="1:12" ht="21" x14ac:dyDescent="0.4">
      <c r="A1" s="22" t="s">
        <v>91</v>
      </c>
      <c r="B1" s="22" t="s">
        <v>111</v>
      </c>
      <c r="C1" s="22" t="s">
        <v>154</v>
      </c>
    </row>
    <row r="2" spans="1:12" ht="15.6" x14ac:dyDescent="0.3">
      <c r="A2" s="23" t="s">
        <v>94</v>
      </c>
      <c r="B2" s="23" t="s">
        <v>150</v>
      </c>
      <c r="C2" s="23">
        <v>101</v>
      </c>
    </row>
    <row r="3" spans="1:12" ht="15.6" x14ac:dyDescent="0.3">
      <c r="A3" s="23" t="s">
        <v>95</v>
      </c>
      <c r="B3" s="23" t="s">
        <v>150</v>
      </c>
      <c r="C3" s="23">
        <v>101</v>
      </c>
      <c r="G3" s="21" t="s">
        <v>156</v>
      </c>
    </row>
    <row r="4" spans="1:12" ht="15.6" x14ac:dyDescent="0.3">
      <c r="A4" s="23" t="s">
        <v>95</v>
      </c>
      <c r="B4" s="23" t="s">
        <v>150</v>
      </c>
      <c r="C4" s="23">
        <v>109</v>
      </c>
      <c r="G4" s="21" t="s">
        <v>91</v>
      </c>
      <c r="H4" t="s">
        <v>155</v>
      </c>
      <c r="K4" t="str" cm="1">
        <f t="array" ref="K4:L13">_xlfn.GROUPBY($A$1:$A$725,$C$1:$C$725,_xleta.SUM,3)</f>
        <v>Agent</v>
      </c>
      <c r="L4" t="str">
        <v>Sales</v>
      </c>
    </row>
    <row r="5" spans="1:12" ht="15.6" x14ac:dyDescent="0.3">
      <c r="A5" s="23" t="s">
        <v>151</v>
      </c>
      <c r="B5" s="23" t="s">
        <v>150</v>
      </c>
      <c r="C5" s="23">
        <v>110</v>
      </c>
      <c r="G5" t="s">
        <v>92</v>
      </c>
      <c r="H5">
        <v>240106</v>
      </c>
      <c r="K5" t="str">
        <v>Arun Kumar</v>
      </c>
      <c r="L5">
        <v>240106</v>
      </c>
    </row>
    <row r="6" spans="1:12" ht="15.6" x14ac:dyDescent="0.3">
      <c r="A6" s="23" t="s">
        <v>157</v>
      </c>
      <c r="B6" s="23" t="s">
        <v>150</v>
      </c>
      <c r="C6" s="23">
        <v>111</v>
      </c>
      <c r="G6" t="s">
        <v>93</v>
      </c>
      <c r="H6">
        <v>1931515</v>
      </c>
      <c r="K6" t="str">
        <v>Ashok Kumar</v>
      </c>
      <c r="L6">
        <v>1931515</v>
      </c>
    </row>
    <row r="7" spans="1:12" ht="15.6" x14ac:dyDescent="0.3">
      <c r="A7" s="23" t="s">
        <v>93</v>
      </c>
      <c r="B7" s="23" t="s">
        <v>150</v>
      </c>
      <c r="C7" s="23">
        <v>113</v>
      </c>
      <c r="G7" t="s">
        <v>94</v>
      </c>
      <c r="H7">
        <v>150163</v>
      </c>
      <c r="K7" s="24" t="str">
        <v>Pawan Kumar</v>
      </c>
      <c r="L7" s="24">
        <v>1178149</v>
      </c>
    </row>
    <row r="8" spans="1:12" ht="15.6" x14ac:dyDescent="0.3">
      <c r="A8" s="23" t="s">
        <v>151</v>
      </c>
      <c r="B8" s="23" t="s">
        <v>150</v>
      </c>
      <c r="C8" s="23">
        <v>126</v>
      </c>
      <c r="G8" t="s">
        <v>95</v>
      </c>
      <c r="H8">
        <v>862411</v>
      </c>
      <c r="K8" t="str">
        <v>Pramod Kumar</v>
      </c>
      <c r="L8">
        <v>150163</v>
      </c>
    </row>
    <row r="9" spans="1:12" ht="15.6" x14ac:dyDescent="0.3">
      <c r="A9" s="23" t="s">
        <v>151</v>
      </c>
      <c r="B9" s="23" t="s">
        <v>150</v>
      </c>
      <c r="C9" s="23">
        <v>135</v>
      </c>
      <c r="G9" t="s">
        <v>113</v>
      </c>
      <c r="H9">
        <v>1204968</v>
      </c>
      <c r="K9" t="str">
        <v>Praveen Kumar</v>
      </c>
      <c r="L9">
        <v>862411</v>
      </c>
    </row>
    <row r="10" spans="1:12" ht="15.6" x14ac:dyDescent="0.3">
      <c r="A10" s="23" t="s">
        <v>93</v>
      </c>
      <c r="B10" s="23" t="s">
        <v>150</v>
      </c>
      <c r="C10" s="23">
        <v>136</v>
      </c>
      <c r="G10" t="s">
        <v>153</v>
      </c>
      <c r="H10">
        <v>42312</v>
      </c>
      <c r="K10" t="str">
        <v>Rahul Kumar</v>
      </c>
      <c r="L10">
        <v>1204968</v>
      </c>
    </row>
    <row r="11" spans="1:12" ht="15.6" x14ac:dyDescent="0.3">
      <c r="A11" s="23" t="s">
        <v>93</v>
      </c>
      <c r="B11" s="23" t="s">
        <v>150</v>
      </c>
      <c r="C11" s="23">
        <v>140</v>
      </c>
      <c r="G11" t="s">
        <v>151</v>
      </c>
      <c r="H11">
        <v>1057632</v>
      </c>
      <c r="K11" t="str">
        <v xml:space="preserve">Sweta </v>
      </c>
      <c r="L11">
        <v>42312</v>
      </c>
    </row>
    <row r="12" spans="1:12" ht="15.6" x14ac:dyDescent="0.3">
      <c r="A12" s="23" t="s">
        <v>93</v>
      </c>
      <c r="B12" s="23" t="s">
        <v>150</v>
      </c>
      <c r="C12" s="23">
        <v>145</v>
      </c>
      <c r="G12" t="s">
        <v>157</v>
      </c>
      <c r="H12">
        <v>1178149</v>
      </c>
      <c r="K12" t="str">
        <v>Varun Kumar</v>
      </c>
      <c r="L12">
        <v>1057632</v>
      </c>
    </row>
    <row r="13" spans="1:12" ht="15.6" x14ac:dyDescent="0.3">
      <c r="A13" s="23" t="s">
        <v>157</v>
      </c>
      <c r="B13" s="23" t="s">
        <v>150</v>
      </c>
      <c r="C13" s="23">
        <v>156</v>
      </c>
      <c r="G13" t="s">
        <v>148</v>
      </c>
      <c r="H13">
        <v>6667256</v>
      </c>
      <c r="K13" t="str">
        <v>Total</v>
      </c>
      <c r="L13">
        <v>6667256</v>
      </c>
    </row>
    <row r="14" spans="1:12" ht="15.6" x14ac:dyDescent="0.3">
      <c r="A14" s="23" t="s">
        <v>113</v>
      </c>
      <c r="B14" s="23" t="s">
        <v>150</v>
      </c>
      <c r="C14" s="23">
        <v>162</v>
      </c>
    </row>
    <row r="15" spans="1:12" ht="15.6" x14ac:dyDescent="0.3">
      <c r="A15" s="23" t="s">
        <v>95</v>
      </c>
      <c r="B15" s="23" t="s">
        <v>150</v>
      </c>
      <c r="C15" s="23">
        <v>163</v>
      </c>
    </row>
    <row r="16" spans="1:12" ht="15.6" x14ac:dyDescent="0.3">
      <c r="A16" s="23" t="s">
        <v>93</v>
      </c>
      <c r="B16" s="23" t="s">
        <v>150</v>
      </c>
      <c r="C16" s="23">
        <v>182</v>
      </c>
    </row>
    <row r="17" spans="1:3" ht="15.6" x14ac:dyDescent="0.3">
      <c r="A17" s="23" t="s">
        <v>92</v>
      </c>
      <c r="B17" s="23" t="s">
        <v>150</v>
      </c>
      <c r="C17" s="23">
        <v>188</v>
      </c>
    </row>
    <row r="18" spans="1:3" ht="15.6" x14ac:dyDescent="0.3">
      <c r="A18" s="23" t="s">
        <v>94</v>
      </c>
      <c r="B18" s="23" t="s">
        <v>150</v>
      </c>
      <c r="C18" s="23">
        <v>191</v>
      </c>
    </row>
    <row r="19" spans="1:3" ht="15.6" x14ac:dyDescent="0.3">
      <c r="A19" s="23" t="s">
        <v>93</v>
      </c>
      <c r="B19" s="23" t="s">
        <v>150</v>
      </c>
      <c r="C19" s="23">
        <v>192</v>
      </c>
    </row>
    <row r="20" spans="1:3" ht="15.6" x14ac:dyDescent="0.3">
      <c r="A20" s="23" t="s">
        <v>93</v>
      </c>
      <c r="B20" s="23" t="s">
        <v>150</v>
      </c>
      <c r="C20" s="23">
        <v>192</v>
      </c>
    </row>
    <row r="21" spans="1:3" ht="15.6" x14ac:dyDescent="0.3">
      <c r="A21" s="23" t="s">
        <v>93</v>
      </c>
      <c r="B21" s="23" t="s">
        <v>150</v>
      </c>
      <c r="C21" s="23">
        <v>192</v>
      </c>
    </row>
    <row r="22" spans="1:3" ht="15.6" x14ac:dyDescent="0.3">
      <c r="A22" s="23" t="s">
        <v>93</v>
      </c>
      <c r="B22" s="23" t="s">
        <v>150</v>
      </c>
      <c r="C22" s="23">
        <v>193</v>
      </c>
    </row>
    <row r="23" spans="1:3" ht="15.6" x14ac:dyDescent="0.3">
      <c r="A23" s="23" t="s">
        <v>151</v>
      </c>
      <c r="B23" s="23" t="s">
        <v>150</v>
      </c>
      <c r="C23" s="23">
        <v>199</v>
      </c>
    </row>
    <row r="24" spans="1:3" ht="15.6" x14ac:dyDescent="0.3">
      <c r="A24" s="23" t="s">
        <v>94</v>
      </c>
      <c r="B24" s="23" t="s">
        <v>152</v>
      </c>
      <c r="C24" s="23">
        <v>202</v>
      </c>
    </row>
    <row r="25" spans="1:3" ht="15.6" x14ac:dyDescent="0.3">
      <c r="A25" s="23" t="s">
        <v>113</v>
      </c>
      <c r="B25" s="23" t="s">
        <v>150</v>
      </c>
      <c r="C25" s="23">
        <v>212</v>
      </c>
    </row>
    <row r="26" spans="1:3" ht="15.6" x14ac:dyDescent="0.3">
      <c r="A26" s="23" t="s">
        <v>157</v>
      </c>
      <c r="B26" s="23" t="s">
        <v>152</v>
      </c>
      <c r="C26" s="23">
        <v>217</v>
      </c>
    </row>
    <row r="27" spans="1:3" ht="15.6" x14ac:dyDescent="0.3">
      <c r="A27" s="23" t="s">
        <v>157</v>
      </c>
      <c r="B27" s="23" t="s">
        <v>150</v>
      </c>
      <c r="C27" s="23">
        <v>228</v>
      </c>
    </row>
    <row r="28" spans="1:3" ht="15.6" x14ac:dyDescent="0.3">
      <c r="A28" s="23" t="s">
        <v>93</v>
      </c>
      <c r="B28" s="23" t="s">
        <v>152</v>
      </c>
      <c r="C28" s="23">
        <v>230</v>
      </c>
    </row>
    <row r="29" spans="1:3" ht="15.6" x14ac:dyDescent="0.3">
      <c r="A29" s="23" t="s">
        <v>151</v>
      </c>
      <c r="B29" s="23" t="s">
        <v>150</v>
      </c>
      <c r="C29" s="23">
        <v>242</v>
      </c>
    </row>
    <row r="30" spans="1:3" ht="15.6" x14ac:dyDescent="0.3">
      <c r="A30" s="23" t="s">
        <v>113</v>
      </c>
      <c r="B30" s="23" t="s">
        <v>150</v>
      </c>
      <c r="C30" s="23">
        <v>244</v>
      </c>
    </row>
    <row r="31" spans="1:3" ht="15.6" x14ac:dyDescent="0.3">
      <c r="A31" s="23" t="s">
        <v>95</v>
      </c>
      <c r="B31" s="23" t="s">
        <v>152</v>
      </c>
      <c r="C31" s="23">
        <v>256</v>
      </c>
    </row>
    <row r="32" spans="1:3" ht="15.6" x14ac:dyDescent="0.3">
      <c r="A32" s="23" t="s">
        <v>95</v>
      </c>
      <c r="B32" s="23" t="s">
        <v>150</v>
      </c>
      <c r="C32" s="23">
        <v>262</v>
      </c>
    </row>
    <row r="33" spans="1:3" ht="15.6" x14ac:dyDescent="0.3">
      <c r="A33" s="23" t="s">
        <v>151</v>
      </c>
      <c r="B33" s="23" t="s">
        <v>150</v>
      </c>
      <c r="C33" s="23">
        <v>263</v>
      </c>
    </row>
    <row r="34" spans="1:3" ht="15.6" x14ac:dyDescent="0.3">
      <c r="A34" s="23" t="s">
        <v>95</v>
      </c>
      <c r="B34" s="23" t="s">
        <v>150</v>
      </c>
      <c r="C34" s="23">
        <v>269</v>
      </c>
    </row>
    <row r="35" spans="1:3" ht="15.6" x14ac:dyDescent="0.3">
      <c r="A35" s="23" t="s">
        <v>93</v>
      </c>
      <c r="B35" s="23" t="s">
        <v>150</v>
      </c>
      <c r="C35" s="23">
        <v>270</v>
      </c>
    </row>
    <row r="36" spans="1:3" ht="15.6" x14ac:dyDescent="0.3">
      <c r="A36" s="23" t="s">
        <v>157</v>
      </c>
      <c r="B36" s="23" t="s">
        <v>150</v>
      </c>
      <c r="C36" s="23">
        <v>289</v>
      </c>
    </row>
    <row r="37" spans="1:3" ht="15.6" x14ac:dyDescent="0.3">
      <c r="A37" s="23" t="s">
        <v>93</v>
      </c>
      <c r="B37" s="23" t="s">
        <v>150</v>
      </c>
      <c r="C37" s="23">
        <v>307</v>
      </c>
    </row>
    <row r="38" spans="1:3" ht="15.6" x14ac:dyDescent="0.3">
      <c r="A38" s="23" t="s">
        <v>151</v>
      </c>
      <c r="B38" s="23" t="s">
        <v>150</v>
      </c>
      <c r="C38" s="23">
        <v>307</v>
      </c>
    </row>
    <row r="39" spans="1:3" ht="15.6" x14ac:dyDescent="0.3">
      <c r="A39" s="23" t="s">
        <v>113</v>
      </c>
      <c r="B39" s="23" t="s">
        <v>152</v>
      </c>
      <c r="C39" s="23">
        <v>308</v>
      </c>
    </row>
    <row r="40" spans="1:3" ht="15.6" x14ac:dyDescent="0.3">
      <c r="A40" s="23" t="s">
        <v>151</v>
      </c>
      <c r="B40" s="23" t="s">
        <v>150</v>
      </c>
      <c r="C40" s="23">
        <v>318</v>
      </c>
    </row>
    <row r="41" spans="1:3" ht="15.6" x14ac:dyDescent="0.3">
      <c r="A41" s="23" t="s">
        <v>93</v>
      </c>
      <c r="B41" s="23" t="s">
        <v>150</v>
      </c>
      <c r="C41" s="23">
        <v>319</v>
      </c>
    </row>
    <row r="42" spans="1:3" ht="15.6" x14ac:dyDescent="0.3">
      <c r="A42" s="23" t="s">
        <v>151</v>
      </c>
      <c r="B42" s="23" t="s">
        <v>152</v>
      </c>
      <c r="C42" s="23">
        <v>332</v>
      </c>
    </row>
    <row r="43" spans="1:3" ht="15.6" x14ac:dyDescent="0.3">
      <c r="A43" s="23" t="s">
        <v>92</v>
      </c>
      <c r="B43" s="23" t="s">
        <v>150</v>
      </c>
      <c r="C43" s="23">
        <v>341</v>
      </c>
    </row>
    <row r="44" spans="1:3" ht="15.6" x14ac:dyDescent="0.3">
      <c r="A44" s="23" t="s">
        <v>93</v>
      </c>
      <c r="B44" s="23" t="s">
        <v>150</v>
      </c>
      <c r="C44" s="23">
        <v>374</v>
      </c>
    </row>
    <row r="45" spans="1:3" ht="15.6" x14ac:dyDescent="0.3">
      <c r="A45" s="23" t="s">
        <v>94</v>
      </c>
      <c r="B45" s="23" t="s">
        <v>150</v>
      </c>
      <c r="C45" s="23">
        <v>377</v>
      </c>
    </row>
    <row r="46" spans="1:3" ht="15.6" x14ac:dyDescent="0.3">
      <c r="A46" s="23" t="s">
        <v>92</v>
      </c>
      <c r="B46" s="23" t="s">
        <v>150</v>
      </c>
      <c r="C46" s="23">
        <v>384</v>
      </c>
    </row>
    <row r="47" spans="1:3" ht="15.6" x14ac:dyDescent="0.3">
      <c r="A47" s="23" t="s">
        <v>93</v>
      </c>
      <c r="B47" s="23" t="s">
        <v>150</v>
      </c>
      <c r="C47" s="23">
        <v>419</v>
      </c>
    </row>
    <row r="48" spans="1:3" ht="15.6" x14ac:dyDescent="0.3">
      <c r="A48" s="23" t="s">
        <v>93</v>
      </c>
      <c r="B48" s="23" t="s">
        <v>150</v>
      </c>
      <c r="C48" s="23">
        <v>423</v>
      </c>
    </row>
    <row r="49" spans="1:3" ht="15.6" x14ac:dyDescent="0.3">
      <c r="A49" s="23" t="s">
        <v>113</v>
      </c>
      <c r="B49" s="23" t="s">
        <v>150</v>
      </c>
      <c r="C49" s="23">
        <v>430</v>
      </c>
    </row>
    <row r="50" spans="1:3" ht="15.6" x14ac:dyDescent="0.3">
      <c r="A50" s="23" t="s">
        <v>93</v>
      </c>
      <c r="B50" s="23" t="s">
        <v>150</v>
      </c>
      <c r="C50" s="23">
        <v>443</v>
      </c>
    </row>
    <row r="51" spans="1:3" ht="15.6" x14ac:dyDescent="0.3">
      <c r="A51" s="23" t="s">
        <v>93</v>
      </c>
      <c r="B51" s="23" t="s">
        <v>150</v>
      </c>
      <c r="C51" s="23">
        <v>446</v>
      </c>
    </row>
    <row r="52" spans="1:3" ht="15.6" x14ac:dyDescent="0.3">
      <c r="A52" s="23" t="s">
        <v>93</v>
      </c>
      <c r="B52" s="23" t="s">
        <v>150</v>
      </c>
      <c r="C52" s="23">
        <v>452</v>
      </c>
    </row>
    <row r="53" spans="1:3" ht="15.6" x14ac:dyDescent="0.3">
      <c r="A53" s="23" t="s">
        <v>157</v>
      </c>
      <c r="B53" s="23" t="s">
        <v>150</v>
      </c>
      <c r="C53" s="23">
        <v>461</v>
      </c>
    </row>
    <row r="54" spans="1:3" ht="15.6" x14ac:dyDescent="0.3">
      <c r="A54" s="23" t="s">
        <v>93</v>
      </c>
      <c r="B54" s="23" t="s">
        <v>150</v>
      </c>
      <c r="C54" s="23">
        <v>463</v>
      </c>
    </row>
    <row r="55" spans="1:3" ht="15.6" x14ac:dyDescent="0.3">
      <c r="A55" s="23" t="s">
        <v>92</v>
      </c>
      <c r="B55" s="23" t="s">
        <v>150</v>
      </c>
      <c r="C55" s="23">
        <v>471</v>
      </c>
    </row>
    <row r="56" spans="1:3" ht="15.6" x14ac:dyDescent="0.3">
      <c r="A56" s="23" t="s">
        <v>113</v>
      </c>
      <c r="B56" s="23" t="s">
        <v>150</v>
      </c>
      <c r="C56" s="23">
        <v>476</v>
      </c>
    </row>
    <row r="57" spans="1:3" ht="15.6" x14ac:dyDescent="0.3">
      <c r="A57" s="23" t="s">
        <v>93</v>
      </c>
      <c r="B57" s="23" t="s">
        <v>150</v>
      </c>
      <c r="C57" s="23">
        <v>486</v>
      </c>
    </row>
    <row r="58" spans="1:3" ht="15.6" x14ac:dyDescent="0.3">
      <c r="A58" s="23" t="s">
        <v>113</v>
      </c>
      <c r="B58" s="23" t="s">
        <v>152</v>
      </c>
      <c r="C58" s="23">
        <v>504</v>
      </c>
    </row>
    <row r="59" spans="1:3" ht="15.6" x14ac:dyDescent="0.3">
      <c r="A59" s="23" t="s">
        <v>94</v>
      </c>
      <c r="B59" s="23" t="s">
        <v>152</v>
      </c>
      <c r="C59" s="23">
        <v>506</v>
      </c>
    </row>
    <row r="60" spans="1:3" ht="15.6" x14ac:dyDescent="0.3">
      <c r="A60" s="23" t="s">
        <v>95</v>
      </c>
      <c r="B60" s="23" t="s">
        <v>150</v>
      </c>
      <c r="C60" s="23">
        <v>509</v>
      </c>
    </row>
    <row r="61" spans="1:3" ht="15.6" x14ac:dyDescent="0.3">
      <c r="A61" s="23" t="s">
        <v>93</v>
      </c>
      <c r="B61" s="23" t="s">
        <v>150</v>
      </c>
      <c r="C61" s="23">
        <v>510</v>
      </c>
    </row>
    <row r="62" spans="1:3" ht="15.6" x14ac:dyDescent="0.3">
      <c r="A62" s="23" t="s">
        <v>151</v>
      </c>
      <c r="B62" s="23" t="s">
        <v>152</v>
      </c>
      <c r="C62" s="23">
        <v>523</v>
      </c>
    </row>
    <row r="63" spans="1:3" ht="15.6" x14ac:dyDescent="0.3">
      <c r="A63" s="23" t="s">
        <v>92</v>
      </c>
      <c r="B63" s="23" t="s">
        <v>152</v>
      </c>
      <c r="C63" s="23">
        <v>531</v>
      </c>
    </row>
    <row r="64" spans="1:3" ht="15.6" x14ac:dyDescent="0.3">
      <c r="A64" s="23" t="s">
        <v>113</v>
      </c>
      <c r="B64" s="23" t="s">
        <v>150</v>
      </c>
      <c r="C64" s="23">
        <v>539</v>
      </c>
    </row>
    <row r="65" spans="1:3" ht="15.6" x14ac:dyDescent="0.3">
      <c r="A65" s="23" t="s">
        <v>113</v>
      </c>
      <c r="B65" s="23" t="s">
        <v>152</v>
      </c>
      <c r="C65" s="23">
        <v>542</v>
      </c>
    </row>
    <row r="66" spans="1:3" ht="15.6" x14ac:dyDescent="0.3">
      <c r="A66" s="23" t="s">
        <v>113</v>
      </c>
      <c r="B66" s="23" t="s">
        <v>150</v>
      </c>
      <c r="C66" s="23">
        <v>542</v>
      </c>
    </row>
    <row r="67" spans="1:3" ht="15.6" x14ac:dyDescent="0.3">
      <c r="A67" s="23" t="s">
        <v>93</v>
      </c>
      <c r="B67" s="23" t="s">
        <v>150</v>
      </c>
      <c r="C67" s="23">
        <v>544</v>
      </c>
    </row>
    <row r="68" spans="1:3" ht="15.6" x14ac:dyDescent="0.3">
      <c r="A68" s="23" t="s">
        <v>93</v>
      </c>
      <c r="B68" s="23" t="s">
        <v>152</v>
      </c>
      <c r="C68" s="23">
        <v>545</v>
      </c>
    </row>
    <row r="69" spans="1:3" ht="15.6" x14ac:dyDescent="0.3">
      <c r="A69" s="23" t="s">
        <v>151</v>
      </c>
      <c r="B69" s="23" t="s">
        <v>150</v>
      </c>
      <c r="C69" s="23">
        <v>554</v>
      </c>
    </row>
    <row r="70" spans="1:3" ht="15.6" x14ac:dyDescent="0.3">
      <c r="A70" s="23" t="s">
        <v>93</v>
      </c>
      <c r="B70" s="23" t="s">
        <v>150</v>
      </c>
      <c r="C70" s="23">
        <v>564</v>
      </c>
    </row>
    <row r="71" spans="1:3" ht="15.6" x14ac:dyDescent="0.3">
      <c r="A71" s="23" t="s">
        <v>94</v>
      </c>
      <c r="B71" s="23" t="s">
        <v>150</v>
      </c>
      <c r="C71" s="23">
        <v>565</v>
      </c>
    </row>
    <row r="72" spans="1:3" ht="15.6" x14ac:dyDescent="0.3">
      <c r="A72" s="23" t="s">
        <v>153</v>
      </c>
      <c r="B72" s="23" t="s">
        <v>150</v>
      </c>
      <c r="C72" s="23">
        <v>569</v>
      </c>
    </row>
    <row r="73" spans="1:3" ht="15.6" x14ac:dyDescent="0.3">
      <c r="A73" s="23" t="s">
        <v>157</v>
      </c>
      <c r="B73" s="23" t="s">
        <v>152</v>
      </c>
      <c r="C73" s="23">
        <v>573</v>
      </c>
    </row>
    <row r="74" spans="1:3" ht="15.6" x14ac:dyDescent="0.3">
      <c r="A74" s="23" t="s">
        <v>113</v>
      </c>
      <c r="B74" s="23" t="s">
        <v>150</v>
      </c>
      <c r="C74" s="23">
        <v>575</v>
      </c>
    </row>
    <row r="75" spans="1:3" ht="15.6" x14ac:dyDescent="0.3">
      <c r="A75" s="23" t="s">
        <v>151</v>
      </c>
      <c r="B75" s="23" t="s">
        <v>150</v>
      </c>
      <c r="C75" s="23">
        <v>576</v>
      </c>
    </row>
    <row r="76" spans="1:3" ht="15.6" x14ac:dyDescent="0.3">
      <c r="A76" s="23" t="s">
        <v>157</v>
      </c>
      <c r="B76" s="23" t="s">
        <v>150</v>
      </c>
      <c r="C76" s="23">
        <v>577</v>
      </c>
    </row>
    <row r="77" spans="1:3" ht="15.6" x14ac:dyDescent="0.3">
      <c r="A77" s="23" t="s">
        <v>113</v>
      </c>
      <c r="B77" s="23" t="s">
        <v>150</v>
      </c>
      <c r="C77" s="23">
        <v>580</v>
      </c>
    </row>
    <row r="78" spans="1:3" ht="15.6" x14ac:dyDescent="0.3">
      <c r="A78" s="23" t="s">
        <v>113</v>
      </c>
      <c r="B78" s="23" t="s">
        <v>150</v>
      </c>
      <c r="C78" s="23">
        <v>582</v>
      </c>
    </row>
    <row r="79" spans="1:3" ht="15.6" x14ac:dyDescent="0.3">
      <c r="A79" s="23" t="s">
        <v>93</v>
      </c>
      <c r="B79" s="23" t="s">
        <v>150</v>
      </c>
      <c r="C79" s="23">
        <v>584</v>
      </c>
    </row>
    <row r="80" spans="1:3" ht="15.6" x14ac:dyDescent="0.3">
      <c r="A80" s="23" t="s">
        <v>113</v>
      </c>
      <c r="B80" s="23" t="s">
        <v>150</v>
      </c>
      <c r="C80" s="23">
        <v>590</v>
      </c>
    </row>
    <row r="81" spans="1:3" ht="15.6" x14ac:dyDescent="0.3">
      <c r="A81" s="23" t="s">
        <v>153</v>
      </c>
      <c r="B81" s="23" t="s">
        <v>150</v>
      </c>
      <c r="C81" s="23">
        <v>594</v>
      </c>
    </row>
    <row r="82" spans="1:3" ht="15.6" x14ac:dyDescent="0.3">
      <c r="A82" s="23" t="s">
        <v>93</v>
      </c>
      <c r="B82" s="23" t="s">
        <v>152</v>
      </c>
      <c r="C82" s="23">
        <v>597</v>
      </c>
    </row>
    <row r="83" spans="1:3" ht="15.6" x14ac:dyDescent="0.3">
      <c r="A83" s="23" t="s">
        <v>92</v>
      </c>
      <c r="B83" s="23" t="s">
        <v>150</v>
      </c>
      <c r="C83" s="23">
        <v>598</v>
      </c>
    </row>
    <row r="84" spans="1:3" ht="15.6" x14ac:dyDescent="0.3">
      <c r="A84" s="23" t="s">
        <v>151</v>
      </c>
      <c r="B84" s="23" t="s">
        <v>152</v>
      </c>
      <c r="C84" s="23">
        <v>602</v>
      </c>
    </row>
    <row r="85" spans="1:3" ht="15.6" x14ac:dyDescent="0.3">
      <c r="A85" s="23" t="s">
        <v>93</v>
      </c>
      <c r="B85" s="23" t="s">
        <v>152</v>
      </c>
      <c r="C85" s="23">
        <v>619</v>
      </c>
    </row>
    <row r="86" spans="1:3" ht="15.6" x14ac:dyDescent="0.3">
      <c r="A86" s="23" t="s">
        <v>95</v>
      </c>
      <c r="B86" s="23" t="s">
        <v>152</v>
      </c>
      <c r="C86" s="23">
        <v>649</v>
      </c>
    </row>
    <row r="87" spans="1:3" ht="15.6" x14ac:dyDescent="0.3">
      <c r="A87" s="23" t="s">
        <v>157</v>
      </c>
      <c r="B87" s="23" t="s">
        <v>152</v>
      </c>
      <c r="C87" s="23">
        <v>660</v>
      </c>
    </row>
    <row r="88" spans="1:3" ht="15.6" x14ac:dyDescent="0.3">
      <c r="A88" s="23" t="s">
        <v>153</v>
      </c>
      <c r="B88" s="23" t="s">
        <v>152</v>
      </c>
      <c r="C88" s="23">
        <v>666</v>
      </c>
    </row>
    <row r="89" spans="1:3" ht="15.6" x14ac:dyDescent="0.3">
      <c r="A89" s="23" t="s">
        <v>95</v>
      </c>
      <c r="B89" s="23" t="s">
        <v>150</v>
      </c>
      <c r="C89" s="23">
        <v>1001</v>
      </c>
    </row>
    <row r="90" spans="1:3" ht="15.6" x14ac:dyDescent="0.3">
      <c r="A90" s="23" t="s">
        <v>151</v>
      </c>
      <c r="B90" s="23" t="s">
        <v>150</v>
      </c>
      <c r="C90" s="23">
        <v>1001</v>
      </c>
    </row>
    <row r="91" spans="1:3" ht="15.6" x14ac:dyDescent="0.3">
      <c r="A91" s="23" t="s">
        <v>151</v>
      </c>
      <c r="B91" s="23" t="s">
        <v>150</v>
      </c>
      <c r="C91" s="23">
        <v>1003</v>
      </c>
    </row>
    <row r="92" spans="1:3" ht="15.6" x14ac:dyDescent="0.3">
      <c r="A92" s="23" t="s">
        <v>94</v>
      </c>
      <c r="B92" s="23" t="s">
        <v>150</v>
      </c>
      <c r="C92" s="23">
        <v>1037</v>
      </c>
    </row>
    <row r="93" spans="1:3" ht="15.6" x14ac:dyDescent="0.3">
      <c r="A93" s="23" t="s">
        <v>113</v>
      </c>
      <c r="B93" s="23" t="s">
        <v>150</v>
      </c>
      <c r="C93" s="23">
        <v>1042</v>
      </c>
    </row>
    <row r="94" spans="1:3" ht="15.6" x14ac:dyDescent="0.3">
      <c r="A94" s="23" t="s">
        <v>95</v>
      </c>
      <c r="B94" s="23" t="s">
        <v>150</v>
      </c>
      <c r="C94" s="23">
        <v>1060</v>
      </c>
    </row>
    <row r="95" spans="1:3" ht="15.6" x14ac:dyDescent="0.3">
      <c r="A95" s="23" t="s">
        <v>93</v>
      </c>
      <c r="B95" s="23" t="s">
        <v>152</v>
      </c>
      <c r="C95" s="23">
        <v>1081</v>
      </c>
    </row>
    <row r="96" spans="1:3" ht="15.6" x14ac:dyDescent="0.3">
      <c r="A96" s="23" t="s">
        <v>157</v>
      </c>
      <c r="B96" s="23" t="s">
        <v>150</v>
      </c>
      <c r="C96" s="23">
        <v>1082</v>
      </c>
    </row>
    <row r="97" spans="1:3" ht="15.6" x14ac:dyDescent="0.3">
      <c r="A97" s="23" t="s">
        <v>113</v>
      </c>
      <c r="B97" s="23" t="s">
        <v>150</v>
      </c>
      <c r="C97" s="23">
        <v>1093</v>
      </c>
    </row>
    <row r="98" spans="1:3" ht="15.6" x14ac:dyDescent="0.3">
      <c r="A98" s="23" t="s">
        <v>151</v>
      </c>
      <c r="B98" s="23" t="s">
        <v>150</v>
      </c>
      <c r="C98" s="23">
        <v>1100</v>
      </c>
    </row>
    <row r="99" spans="1:3" ht="15.6" x14ac:dyDescent="0.3">
      <c r="A99" s="23" t="s">
        <v>113</v>
      </c>
      <c r="B99" s="23" t="s">
        <v>150</v>
      </c>
      <c r="C99" s="23">
        <v>1382</v>
      </c>
    </row>
    <row r="100" spans="1:3" ht="15.6" x14ac:dyDescent="0.3">
      <c r="A100" s="23" t="s">
        <v>93</v>
      </c>
      <c r="B100" s="23" t="s">
        <v>150</v>
      </c>
      <c r="C100" s="23">
        <v>1385</v>
      </c>
    </row>
    <row r="101" spans="1:3" ht="15.6" x14ac:dyDescent="0.3">
      <c r="A101" s="23" t="s">
        <v>157</v>
      </c>
      <c r="B101" s="23" t="s">
        <v>128</v>
      </c>
      <c r="C101" s="23">
        <v>2002</v>
      </c>
    </row>
    <row r="102" spans="1:3" ht="15.6" x14ac:dyDescent="0.3">
      <c r="A102" s="23" t="s">
        <v>151</v>
      </c>
      <c r="B102" s="23" t="s">
        <v>150</v>
      </c>
      <c r="C102" s="23">
        <v>2011</v>
      </c>
    </row>
    <row r="103" spans="1:3" ht="15.6" x14ac:dyDescent="0.3">
      <c r="A103" s="23" t="s">
        <v>113</v>
      </c>
      <c r="B103" s="23" t="s">
        <v>128</v>
      </c>
      <c r="C103" s="23">
        <v>2025</v>
      </c>
    </row>
    <row r="104" spans="1:3" ht="15.6" x14ac:dyDescent="0.3">
      <c r="A104" s="23" t="s">
        <v>151</v>
      </c>
      <c r="B104" s="23" t="s">
        <v>150</v>
      </c>
      <c r="C104" s="23">
        <v>2031</v>
      </c>
    </row>
    <row r="105" spans="1:3" ht="15.6" x14ac:dyDescent="0.3">
      <c r="A105" s="23" t="s">
        <v>151</v>
      </c>
      <c r="B105" s="23" t="s">
        <v>112</v>
      </c>
      <c r="C105" s="23">
        <v>2043</v>
      </c>
    </row>
    <row r="106" spans="1:3" ht="15.6" x14ac:dyDescent="0.3">
      <c r="A106" s="23" t="s">
        <v>151</v>
      </c>
      <c r="B106" s="23" t="s">
        <v>112</v>
      </c>
      <c r="C106" s="23">
        <v>2048</v>
      </c>
    </row>
    <row r="107" spans="1:3" ht="15.6" x14ac:dyDescent="0.3">
      <c r="A107" s="23" t="s">
        <v>93</v>
      </c>
      <c r="B107" s="23" t="s">
        <v>112</v>
      </c>
      <c r="C107" s="23">
        <v>2065</v>
      </c>
    </row>
    <row r="108" spans="1:3" ht="15.6" x14ac:dyDescent="0.3">
      <c r="A108" s="23" t="s">
        <v>93</v>
      </c>
      <c r="B108" s="23" t="s">
        <v>128</v>
      </c>
      <c r="C108" s="23">
        <v>2067</v>
      </c>
    </row>
    <row r="109" spans="1:3" ht="15.6" x14ac:dyDescent="0.3">
      <c r="A109" s="23" t="s">
        <v>93</v>
      </c>
      <c r="B109" s="23" t="s">
        <v>112</v>
      </c>
      <c r="C109" s="23">
        <v>2076</v>
      </c>
    </row>
    <row r="110" spans="1:3" ht="15.6" x14ac:dyDescent="0.3">
      <c r="A110" s="23" t="s">
        <v>95</v>
      </c>
      <c r="B110" s="23" t="s">
        <v>112</v>
      </c>
      <c r="C110" s="23">
        <v>2076</v>
      </c>
    </row>
    <row r="111" spans="1:3" ht="15.6" x14ac:dyDescent="0.3">
      <c r="A111" s="23" t="s">
        <v>113</v>
      </c>
      <c r="B111" s="23" t="s">
        <v>150</v>
      </c>
      <c r="C111" s="23">
        <v>2094</v>
      </c>
    </row>
    <row r="112" spans="1:3" ht="15.6" x14ac:dyDescent="0.3">
      <c r="A112" s="23" t="s">
        <v>113</v>
      </c>
      <c r="B112" s="23" t="s">
        <v>112</v>
      </c>
      <c r="C112" s="23">
        <v>2098</v>
      </c>
    </row>
    <row r="113" spans="1:3" ht="15.6" x14ac:dyDescent="0.3">
      <c r="A113" s="23" t="s">
        <v>151</v>
      </c>
      <c r="B113" s="23" t="s">
        <v>150</v>
      </c>
      <c r="C113" s="23">
        <v>2776</v>
      </c>
    </row>
    <row r="114" spans="1:3" ht="15.6" x14ac:dyDescent="0.3">
      <c r="A114" s="23" t="s">
        <v>157</v>
      </c>
      <c r="B114" s="23" t="s">
        <v>150</v>
      </c>
      <c r="C114" s="23">
        <v>2792</v>
      </c>
    </row>
    <row r="115" spans="1:3" ht="15.6" x14ac:dyDescent="0.3">
      <c r="A115" s="23" t="s">
        <v>95</v>
      </c>
      <c r="B115" s="23" t="s">
        <v>150</v>
      </c>
      <c r="C115" s="23">
        <v>2799</v>
      </c>
    </row>
    <row r="116" spans="1:3" ht="15.6" x14ac:dyDescent="0.3">
      <c r="A116" s="23" t="s">
        <v>151</v>
      </c>
      <c r="B116" s="23" t="s">
        <v>150</v>
      </c>
      <c r="C116" s="23">
        <v>2805</v>
      </c>
    </row>
    <row r="117" spans="1:3" ht="15.6" x14ac:dyDescent="0.3">
      <c r="A117" s="23" t="s">
        <v>157</v>
      </c>
      <c r="B117" s="23" t="s">
        <v>150</v>
      </c>
      <c r="C117" s="23">
        <v>2825</v>
      </c>
    </row>
    <row r="118" spans="1:3" ht="15.6" x14ac:dyDescent="0.3">
      <c r="A118" s="23" t="s">
        <v>151</v>
      </c>
      <c r="B118" s="23" t="s">
        <v>152</v>
      </c>
      <c r="C118" s="23">
        <v>2889</v>
      </c>
    </row>
    <row r="119" spans="1:3" ht="15.6" x14ac:dyDescent="0.3">
      <c r="A119" s="23" t="s">
        <v>95</v>
      </c>
      <c r="B119" s="23" t="s">
        <v>152</v>
      </c>
      <c r="C119" s="23">
        <v>2898</v>
      </c>
    </row>
    <row r="120" spans="1:3" ht="15.6" x14ac:dyDescent="0.3">
      <c r="A120" s="23" t="s">
        <v>93</v>
      </c>
      <c r="B120" s="23" t="s">
        <v>152</v>
      </c>
      <c r="C120" s="23">
        <v>2928</v>
      </c>
    </row>
    <row r="121" spans="1:3" ht="15.6" x14ac:dyDescent="0.3">
      <c r="A121" s="23" t="s">
        <v>113</v>
      </c>
      <c r="B121" s="23" t="s">
        <v>152</v>
      </c>
      <c r="C121" s="23">
        <v>2951</v>
      </c>
    </row>
    <row r="122" spans="1:3" ht="15.6" x14ac:dyDescent="0.3">
      <c r="A122" s="23" t="s">
        <v>157</v>
      </c>
      <c r="B122" s="23" t="s">
        <v>152</v>
      </c>
      <c r="C122" s="23">
        <v>2961</v>
      </c>
    </row>
    <row r="123" spans="1:3" ht="15.6" x14ac:dyDescent="0.3">
      <c r="A123" s="23" t="s">
        <v>157</v>
      </c>
      <c r="B123" s="23" t="s">
        <v>150</v>
      </c>
      <c r="C123" s="23">
        <v>3019</v>
      </c>
    </row>
    <row r="124" spans="1:3" ht="15.6" x14ac:dyDescent="0.3">
      <c r="A124" s="23" t="s">
        <v>93</v>
      </c>
      <c r="B124" s="23" t="s">
        <v>150</v>
      </c>
      <c r="C124" s="23">
        <v>3049</v>
      </c>
    </row>
    <row r="125" spans="1:3" ht="15.6" x14ac:dyDescent="0.3">
      <c r="A125" s="23" t="s">
        <v>95</v>
      </c>
      <c r="B125" s="23" t="s">
        <v>150</v>
      </c>
      <c r="C125" s="23">
        <v>3051</v>
      </c>
    </row>
    <row r="126" spans="1:3" ht="15.6" x14ac:dyDescent="0.3">
      <c r="A126" s="23" t="s">
        <v>95</v>
      </c>
      <c r="B126" s="23" t="s">
        <v>150</v>
      </c>
      <c r="C126" s="23">
        <v>3051</v>
      </c>
    </row>
    <row r="127" spans="1:3" ht="15.6" x14ac:dyDescent="0.3">
      <c r="A127" s="23" t="s">
        <v>93</v>
      </c>
      <c r="B127" s="23" t="s">
        <v>150</v>
      </c>
      <c r="C127" s="23">
        <v>3062</v>
      </c>
    </row>
    <row r="128" spans="1:3" ht="15.6" x14ac:dyDescent="0.3">
      <c r="A128" s="23" t="s">
        <v>151</v>
      </c>
      <c r="B128" s="23" t="s">
        <v>150</v>
      </c>
      <c r="C128" s="23">
        <v>3068</v>
      </c>
    </row>
    <row r="129" spans="1:3" ht="15.6" x14ac:dyDescent="0.3">
      <c r="A129" s="23" t="s">
        <v>95</v>
      </c>
      <c r="B129" s="23" t="s">
        <v>150</v>
      </c>
      <c r="C129" s="23">
        <v>3069</v>
      </c>
    </row>
    <row r="130" spans="1:3" ht="15.6" x14ac:dyDescent="0.3">
      <c r="A130" s="23" t="s">
        <v>157</v>
      </c>
      <c r="B130" s="23" t="s">
        <v>150</v>
      </c>
      <c r="C130" s="23">
        <v>3072</v>
      </c>
    </row>
    <row r="131" spans="1:3" ht="15.6" x14ac:dyDescent="0.3">
      <c r="A131" s="23" t="s">
        <v>92</v>
      </c>
      <c r="B131" s="23" t="s">
        <v>150</v>
      </c>
      <c r="C131" s="23">
        <v>3079</v>
      </c>
    </row>
    <row r="132" spans="1:3" ht="15.6" x14ac:dyDescent="0.3">
      <c r="A132" s="23" t="s">
        <v>113</v>
      </c>
      <c r="B132" s="23" t="s">
        <v>150</v>
      </c>
      <c r="C132" s="23">
        <v>3094</v>
      </c>
    </row>
    <row r="133" spans="1:3" ht="15.6" x14ac:dyDescent="0.3">
      <c r="A133" s="23" t="s">
        <v>93</v>
      </c>
      <c r="B133" s="23" t="s">
        <v>150</v>
      </c>
      <c r="C133" s="23">
        <v>3097</v>
      </c>
    </row>
    <row r="134" spans="1:3" ht="15.6" x14ac:dyDescent="0.3">
      <c r="A134" s="23" t="s">
        <v>157</v>
      </c>
      <c r="B134" s="23" t="s">
        <v>150</v>
      </c>
      <c r="C134" s="23">
        <v>3131</v>
      </c>
    </row>
    <row r="135" spans="1:3" ht="15.6" x14ac:dyDescent="0.3">
      <c r="A135" s="23" t="s">
        <v>151</v>
      </c>
      <c r="B135" s="23" t="s">
        <v>150</v>
      </c>
      <c r="C135" s="23">
        <v>3144</v>
      </c>
    </row>
    <row r="136" spans="1:3" ht="15.6" x14ac:dyDescent="0.3">
      <c r="A136" s="23" t="s">
        <v>95</v>
      </c>
      <c r="B136" s="23" t="s">
        <v>150</v>
      </c>
      <c r="C136" s="23">
        <v>3150</v>
      </c>
    </row>
    <row r="137" spans="1:3" ht="15.6" x14ac:dyDescent="0.3">
      <c r="A137" s="23" t="s">
        <v>95</v>
      </c>
      <c r="B137" s="23" t="s">
        <v>150</v>
      </c>
      <c r="C137" s="23">
        <v>3198</v>
      </c>
    </row>
    <row r="138" spans="1:3" ht="15.6" x14ac:dyDescent="0.3">
      <c r="A138" s="23" t="s">
        <v>151</v>
      </c>
      <c r="B138" s="23" t="s">
        <v>150</v>
      </c>
      <c r="C138" s="23">
        <v>3203</v>
      </c>
    </row>
    <row r="139" spans="1:3" ht="15.6" x14ac:dyDescent="0.3">
      <c r="A139" s="23" t="s">
        <v>157</v>
      </c>
      <c r="B139" s="23" t="s">
        <v>150</v>
      </c>
      <c r="C139" s="23">
        <v>3222</v>
      </c>
    </row>
    <row r="140" spans="1:3" ht="15.6" x14ac:dyDescent="0.3">
      <c r="A140" s="23" t="s">
        <v>157</v>
      </c>
      <c r="B140" s="23" t="s">
        <v>150</v>
      </c>
      <c r="C140" s="23">
        <v>3231</v>
      </c>
    </row>
    <row r="141" spans="1:3" ht="15.6" x14ac:dyDescent="0.3">
      <c r="A141" s="23" t="s">
        <v>93</v>
      </c>
      <c r="B141" s="23" t="s">
        <v>150</v>
      </c>
      <c r="C141" s="23">
        <v>3264</v>
      </c>
    </row>
    <row r="142" spans="1:3" ht="15.6" x14ac:dyDescent="0.3">
      <c r="A142" s="23" t="s">
        <v>157</v>
      </c>
      <c r="B142" s="23" t="s">
        <v>150</v>
      </c>
      <c r="C142" s="23">
        <v>3438</v>
      </c>
    </row>
    <row r="143" spans="1:3" ht="15.6" x14ac:dyDescent="0.3">
      <c r="A143" s="23" t="s">
        <v>157</v>
      </c>
      <c r="B143" s="23" t="s">
        <v>150</v>
      </c>
      <c r="C143" s="23">
        <v>3473</v>
      </c>
    </row>
    <row r="144" spans="1:3" ht="15.6" x14ac:dyDescent="0.3">
      <c r="A144" s="23" t="s">
        <v>93</v>
      </c>
      <c r="B144" s="23" t="s">
        <v>150</v>
      </c>
      <c r="C144" s="23">
        <v>3499</v>
      </c>
    </row>
    <row r="145" spans="1:3" ht="15.6" x14ac:dyDescent="0.3">
      <c r="A145" s="23" t="s">
        <v>151</v>
      </c>
      <c r="B145" s="23" t="s">
        <v>150</v>
      </c>
      <c r="C145" s="23">
        <v>3516</v>
      </c>
    </row>
    <row r="146" spans="1:3" ht="15.6" x14ac:dyDescent="0.3">
      <c r="A146" s="23" t="s">
        <v>93</v>
      </c>
      <c r="B146" s="23" t="s">
        <v>128</v>
      </c>
      <c r="C146" s="23">
        <v>3601</v>
      </c>
    </row>
    <row r="147" spans="1:3" ht="15.6" x14ac:dyDescent="0.3">
      <c r="A147" s="23" t="s">
        <v>95</v>
      </c>
      <c r="B147" s="23" t="s">
        <v>152</v>
      </c>
      <c r="C147" s="23">
        <v>3615</v>
      </c>
    </row>
    <row r="148" spans="1:3" ht="15.6" x14ac:dyDescent="0.3">
      <c r="A148" s="23" t="s">
        <v>93</v>
      </c>
      <c r="B148" s="23" t="s">
        <v>152</v>
      </c>
      <c r="C148" s="23">
        <v>3628</v>
      </c>
    </row>
    <row r="149" spans="1:3" ht="15.6" x14ac:dyDescent="0.3">
      <c r="A149" s="23" t="s">
        <v>94</v>
      </c>
      <c r="B149" s="23" t="s">
        <v>152</v>
      </c>
      <c r="C149" s="23">
        <v>3646</v>
      </c>
    </row>
    <row r="150" spans="1:3" ht="15.6" x14ac:dyDescent="0.3">
      <c r="A150" s="23" t="s">
        <v>94</v>
      </c>
      <c r="B150" s="23" t="s">
        <v>150</v>
      </c>
      <c r="C150" s="23">
        <v>3716</v>
      </c>
    </row>
    <row r="151" spans="1:3" ht="15.6" x14ac:dyDescent="0.3">
      <c r="A151" s="23" t="s">
        <v>151</v>
      </c>
      <c r="B151" s="23" t="s">
        <v>150</v>
      </c>
      <c r="C151" s="23">
        <v>3719</v>
      </c>
    </row>
    <row r="152" spans="1:3" ht="15.6" x14ac:dyDescent="0.3">
      <c r="A152" s="23" t="s">
        <v>93</v>
      </c>
      <c r="B152" s="23" t="s">
        <v>150</v>
      </c>
      <c r="C152" s="23">
        <v>3767</v>
      </c>
    </row>
    <row r="153" spans="1:3" ht="15.6" x14ac:dyDescent="0.3">
      <c r="A153" s="23" t="s">
        <v>93</v>
      </c>
      <c r="B153" s="23" t="s">
        <v>150</v>
      </c>
      <c r="C153" s="23">
        <v>3794</v>
      </c>
    </row>
    <row r="154" spans="1:3" ht="15.6" x14ac:dyDescent="0.3">
      <c r="A154" s="23" t="s">
        <v>151</v>
      </c>
      <c r="B154" s="23" t="s">
        <v>128</v>
      </c>
      <c r="C154" s="23">
        <v>3805</v>
      </c>
    </row>
    <row r="155" spans="1:3" ht="15.6" x14ac:dyDescent="0.3">
      <c r="A155" s="23" t="s">
        <v>93</v>
      </c>
      <c r="B155" s="23" t="s">
        <v>150</v>
      </c>
      <c r="C155" s="23">
        <v>3818</v>
      </c>
    </row>
    <row r="156" spans="1:3" ht="15.6" x14ac:dyDescent="0.3">
      <c r="A156" s="23" t="s">
        <v>93</v>
      </c>
      <c r="B156" s="23" t="s">
        <v>150</v>
      </c>
      <c r="C156" s="23">
        <v>3825</v>
      </c>
    </row>
    <row r="157" spans="1:3" ht="15.6" x14ac:dyDescent="0.3">
      <c r="A157" s="23" t="s">
        <v>93</v>
      </c>
      <c r="B157" s="23" t="s">
        <v>150</v>
      </c>
      <c r="C157" s="23">
        <v>3879</v>
      </c>
    </row>
    <row r="158" spans="1:3" ht="15.6" x14ac:dyDescent="0.3">
      <c r="A158" s="23" t="s">
        <v>157</v>
      </c>
      <c r="B158" s="23" t="s">
        <v>150</v>
      </c>
      <c r="C158" s="23">
        <v>3885</v>
      </c>
    </row>
    <row r="159" spans="1:3" ht="15.6" x14ac:dyDescent="0.3">
      <c r="A159" s="23" t="s">
        <v>113</v>
      </c>
      <c r="B159" s="23" t="s">
        <v>150</v>
      </c>
      <c r="C159" s="23">
        <v>3906</v>
      </c>
    </row>
    <row r="160" spans="1:3" ht="15.6" x14ac:dyDescent="0.3">
      <c r="A160" s="23" t="s">
        <v>157</v>
      </c>
      <c r="B160" s="23" t="s">
        <v>150</v>
      </c>
      <c r="C160" s="23">
        <v>3910</v>
      </c>
    </row>
    <row r="161" spans="1:3" ht="15.6" x14ac:dyDescent="0.3">
      <c r="A161" s="23" t="s">
        <v>95</v>
      </c>
      <c r="B161" s="23" t="s">
        <v>152</v>
      </c>
      <c r="C161" s="23">
        <v>3913</v>
      </c>
    </row>
    <row r="162" spans="1:3" ht="15.6" x14ac:dyDescent="0.3">
      <c r="A162" s="23" t="s">
        <v>157</v>
      </c>
      <c r="B162" s="23" t="s">
        <v>150</v>
      </c>
      <c r="C162" s="23">
        <v>3988</v>
      </c>
    </row>
    <row r="163" spans="1:3" ht="15.6" x14ac:dyDescent="0.3">
      <c r="A163" s="23" t="s">
        <v>92</v>
      </c>
      <c r="B163" s="23" t="s">
        <v>150</v>
      </c>
      <c r="C163" s="23">
        <v>4002</v>
      </c>
    </row>
    <row r="164" spans="1:3" ht="15.6" x14ac:dyDescent="0.3">
      <c r="A164" s="23" t="s">
        <v>157</v>
      </c>
      <c r="B164" s="23" t="s">
        <v>150</v>
      </c>
      <c r="C164" s="23">
        <v>4006</v>
      </c>
    </row>
    <row r="165" spans="1:3" ht="15.6" x14ac:dyDescent="0.3">
      <c r="A165" s="23" t="s">
        <v>151</v>
      </c>
      <c r="B165" s="23" t="s">
        <v>150</v>
      </c>
      <c r="C165" s="23">
        <v>4009</v>
      </c>
    </row>
    <row r="166" spans="1:3" ht="15.6" x14ac:dyDescent="0.3">
      <c r="A166" s="23" t="s">
        <v>92</v>
      </c>
      <c r="B166" s="23" t="s">
        <v>150</v>
      </c>
      <c r="C166" s="23">
        <v>4011</v>
      </c>
    </row>
    <row r="167" spans="1:3" ht="15.6" x14ac:dyDescent="0.3">
      <c r="A167" s="23" t="s">
        <v>157</v>
      </c>
      <c r="B167" s="23" t="s">
        <v>152</v>
      </c>
      <c r="C167" s="23">
        <v>4013</v>
      </c>
    </row>
    <row r="168" spans="1:3" ht="15.6" x14ac:dyDescent="0.3">
      <c r="A168" s="23" t="s">
        <v>94</v>
      </c>
      <c r="B168" s="23" t="s">
        <v>150</v>
      </c>
      <c r="C168" s="23">
        <v>4019</v>
      </c>
    </row>
    <row r="169" spans="1:3" ht="15.6" x14ac:dyDescent="0.3">
      <c r="A169" s="23" t="s">
        <v>92</v>
      </c>
      <c r="B169" s="23" t="s">
        <v>150</v>
      </c>
      <c r="C169" s="23">
        <v>4025</v>
      </c>
    </row>
    <row r="170" spans="1:3" ht="15.6" x14ac:dyDescent="0.3">
      <c r="A170" s="23" t="s">
        <v>95</v>
      </c>
      <c r="B170" s="23" t="s">
        <v>150</v>
      </c>
      <c r="C170" s="23">
        <v>4025</v>
      </c>
    </row>
    <row r="171" spans="1:3" ht="15.6" x14ac:dyDescent="0.3">
      <c r="A171" s="23" t="s">
        <v>151</v>
      </c>
      <c r="B171" s="23" t="s">
        <v>150</v>
      </c>
      <c r="C171" s="23">
        <v>4026</v>
      </c>
    </row>
    <row r="172" spans="1:3" ht="15.6" x14ac:dyDescent="0.3">
      <c r="A172" s="23" t="s">
        <v>94</v>
      </c>
      <c r="B172" s="23" t="s">
        <v>150</v>
      </c>
      <c r="C172" s="23">
        <v>4028</v>
      </c>
    </row>
    <row r="173" spans="1:3" ht="15.6" x14ac:dyDescent="0.3">
      <c r="A173" s="23" t="s">
        <v>113</v>
      </c>
      <c r="B173" s="23" t="s">
        <v>150</v>
      </c>
      <c r="C173" s="23">
        <v>4031</v>
      </c>
    </row>
    <row r="174" spans="1:3" ht="15.6" x14ac:dyDescent="0.3">
      <c r="A174" s="23" t="s">
        <v>94</v>
      </c>
      <c r="B174" s="23" t="s">
        <v>150</v>
      </c>
      <c r="C174" s="23">
        <v>4034</v>
      </c>
    </row>
    <row r="175" spans="1:3" ht="15.6" x14ac:dyDescent="0.3">
      <c r="A175" s="23" t="s">
        <v>93</v>
      </c>
      <c r="B175" s="23" t="s">
        <v>152</v>
      </c>
      <c r="C175" s="23">
        <v>4036</v>
      </c>
    </row>
    <row r="176" spans="1:3" ht="15.6" x14ac:dyDescent="0.3">
      <c r="A176" s="23" t="s">
        <v>93</v>
      </c>
      <c r="B176" s="23" t="s">
        <v>152</v>
      </c>
      <c r="C176" s="23">
        <v>4036</v>
      </c>
    </row>
    <row r="177" spans="1:3" ht="15.6" x14ac:dyDescent="0.3">
      <c r="A177" s="23" t="s">
        <v>157</v>
      </c>
      <c r="B177" s="23" t="s">
        <v>150</v>
      </c>
      <c r="C177" s="23">
        <v>4042</v>
      </c>
    </row>
    <row r="178" spans="1:3" ht="15.6" x14ac:dyDescent="0.3">
      <c r="A178" s="23" t="s">
        <v>113</v>
      </c>
      <c r="B178" s="23" t="s">
        <v>152</v>
      </c>
      <c r="C178" s="23">
        <v>4047</v>
      </c>
    </row>
    <row r="179" spans="1:3" ht="15.6" x14ac:dyDescent="0.3">
      <c r="A179" s="23" t="s">
        <v>157</v>
      </c>
      <c r="B179" s="23" t="s">
        <v>150</v>
      </c>
      <c r="C179" s="23">
        <v>4049</v>
      </c>
    </row>
    <row r="180" spans="1:3" ht="15.6" x14ac:dyDescent="0.3">
      <c r="A180" s="23" t="s">
        <v>113</v>
      </c>
      <c r="B180" s="23" t="s">
        <v>128</v>
      </c>
      <c r="C180" s="23">
        <v>4049</v>
      </c>
    </row>
    <row r="181" spans="1:3" ht="15.6" x14ac:dyDescent="0.3">
      <c r="A181" s="23" t="s">
        <v>93</v>
      </c>
      <c r="B181" s="23" t="s">
        <v>152</v>
      </c>
      <c r="C181" s="23">
        <v>4050</v>
      </c>
    </row>
    <row r="182" spans="1:3" ht="15.6" x14ac:dyDescent="0.3">
      <c r="A182" s="23" t="s">
        <v>92</v>
      </c>
      <c r="B182" s="23" t="s">
        <v>150</v>
      </c>
      <c r="C182" s="23">
        <v>4056</v>
      </c>
    </row>
    <row r="183" spans="1:3" ht="15.6" x14ac:dyDescent="0.3">
      <c r="A183" s="23" t="s">
        <v>113</v>
      </c>
      <c r="B183" s="23" t="s">
        <v>152</v>
      </c>
      <c r="C183" s="23">
        <v>4059</v>
      </c>
    </row>
    <row r="184" spans="1:3" ht="15.6" x14ac:dyDescent="0.3">
      <c r="A184" s="23" t="s">
        <v>151</v>
      </c>
      <c r="B184" s="23" t="s">
        <v>152</v>
      </c>
      <c r="C184" s="23">
        <v>4061</v>
      </c>
    </row>
    <row r="185" spans="1:3" ht="15.6" x14ac:dyDescent="0.3">
      <c r="A185" s="23" t="s">
        <v>93</v>
      </c>
      <c r="B185" s="23" t="s">
        <v>150</v>
      </c>
      <c r="C185" s="23">
        <v>4065</v>
      </c>
    </row>
    <row r="186" spans="1:3" ht="15.6" x14ac:dyDescent="0.3">
      <c r="A186" s="23" t="s">
        <v>157</v>
      </c>
      <c r="B186" s="23" t="s">
        <v>150</v>
      </c>
      <c r="C186" s="23">
        <v>4067</v>
      </c>
    </row>
    <row r="187" spans="1:3" ht="15.6" x14ac:dyDescent="0.3">
      <c r="A187" s="23" t="s">
        <v>151</v>
      </c>
      <c r="B187" s="23" t="s">
        <v>152</v>
      </c>
      <c r="C187" s="23">
        <v>4068</v>
      </c>
    </row>
    <row r="188" spans="1:3" ht="15.6" x14ac:dyDescent="0.3">
      <c r="A188" s="23" t="s">
        <v>113</v>
      </c>
      <c r="B188" s="23" t="s">
        <v>150</v>
      </c>
      <c r="C188" s="23">
        <v>4073</v>
      </c>
    </row>
    <row r="189" spans="1:3" ht="15.6" x14ac:dyDescent="0.3">
      <c r="A189" s="23" t="s">
        <v>93</v>
      </c>
      <c r="B189" s="23" t="s">
        <v>150</v>
      </c>
      <c r="C189" s="23">
        <v>4076</v>
      </c>
    </row>
    <row r="190" spans="1:3" ht="15.6" x14ac:dyDescent="0.3">
      <c r="A190" s="23" t="s">
        <v>157</v>
      </c>
      <c r="B190" s="23" t="s">
        <v>150</v>
      </c>
      <c r="C190" s="23">
        <v>4077</v>
      </c>
    </row>
    <row r="191" spans="1:3" ht="15.6" x14ac:dyDescent="0.3">
      <c r="A191" s="23" t="s">
        <v>93</v>
      </c>
      <c r="B191" s="23" t="s">
        <v>150</v>
      </c>
      <c r="C191" s="23">
        <v>4077</v>
      </c>
    </row>
    <row r="192" spans="1:3" ht="15.6" x14ac:dyDescent="0.3">
      <c r="A192" s="23" t="s">
        <v>157</v>
      </c>
      <c r="B192" s="23" t="s">
        <v>150</v>
      </c>
      <c r="C192" s="23">
        <v>4082</v>
      </c>
    </row>
    <row r="193" spans="1:3" ht="15.6" x14ac:dyDescent="0.3">
      <c r="A193" s="23" t="s">
        <v>93</v>
      </c>
      <c r="B193" s="23" t="s">
        <v>152</v>
      </c>
      <c r="C193" s="23">
        <v>4082</v>
      </c>
    </row>
    <row r="194" spans="1:3" ht="15.6" x14ac:dyDescent="0.3">
      <c r="A194" s="23" t="s">
        <v>93</v>
      </c>
      <c r="B194" s="23" t="s">
        <v>150</v>
      </c>
      <c r="C194" s="23">
        <v>4086</v>
      </c>
    </row>
    <row r="195" spans="1:3" ht="15.6" x14ac:dyDescent="0.3">
      <c r="A195" s="23" t="s">
        <v>93</v>
      </c>
      <c r="B195" s="23" t="s">
        <v>150</v>
      </c>
      <c r="C195" s="23">
        <v>4086</v>
      </c>
    </row>
    <row r="196" spans="1:3" ht="15.6" x14ac:dyDescent="0.3">
      <c r="A196" s="23" t="s">
        <v>94</v>
      </c>
      <c r="B196" s="23" t="s">
        <v>150</v>
      </c>
      <c r="C196" s="23">
        <v>4087</v>
      </c>
    </row>
    <row r="197" spans="1:3" ht="15.6" x14ac:dyDescent="0.3">
      <c r="A197" s="23" t="s">
        <v>95</v>
      </c>
      <c r="B197" s="23" t="s">
        <v>150</v>
      </c>
      <c r="C197" s="23">
        <v>4087</v>
      </c>
    </row>
    <row r="198" spans="1:3" ht="15.6" x14ac:dyDescent="0.3">
      <c r="A198" s="23" t="s">
        <v>93</v>
      </c>
      <c r="B198" s="23" t="s">
        <v>150</v>
      </c>
      <c r="C198" s="23">
        <v>4090</v>
      </c>
    </row>
    <row r="199" spans="1:3" ht="15.6" x14ac:dyDescent="0.3">
      <c r="A199" s="23" t="s">
        <v>93</v>
      </c>
      <c r="B199" s="23" t="s">
        <v>152</v>
      </c>
      <c r="C199" s="23">
        <v>4096</v>
      </c>
    </row>
    <row r="200" spans="1:3" ht="15.6" x14ac:dyDescent="0.3">
      <c r="A200" s="23" t="s">
        <v>95</v>
      </c>
      <c r="B200" s="23" t="s">
        <v>150</v>
      </c>
      <c r="C200" s="23">
        <v>4096</v>
      </c>
    </row>
    <row r="201" spans="1:3" ht="15.6" x14ac:dyDescent="0.3">
      <c r="A201" s="23" t="s">
        <v>157</v>
      </c>
      <c r="B201" s="23" t="s">
        <v>150</v>
      </c>
      <c r="C201" s="23">
        <v>4098</v>
      </c>
    </row>
    <row r="202" spans="1:3" ht="15.6" x14ac:dyDescent="0.3">
      <c r="A202" s="23" t="s">
        <v>113</v>
      </c>
      <c r="B202" s="23" t="s">
        <v>152</v>
      </c>
      <c r="C202" s="23">
        <v>4117</v>
      </c>
    </row>
    <row r="203" spans="1:3" ht="15.6" x14ac:dyDescent="0.3">
      <c r="A203" s="23" t="s">
        <v>93</v>
      </c>
      <c r="B203" s="23" t="s">
        <v>128</v>
      </c>
      <c r="C203" s="23">
        <v>4246</v>
      </c>
    </row>
    <row r="204" spans="1:3" ht="15.6" x14ac:dyDescent="0.3">
      <c r="A204" s="23" t="s">
        <v>94</v>
      </c>
      <c r="B204" s="23" t="s">
        <v>128</v>
      </c>
      <c r="C204" s="23">
        <v>4274</v>
      </c>
    </row>
    <row r="205" spans="1:3" ht="15.6" x14ac:dyDescent="0.3">
      <c r="A205" s="23" t="s">
        <v>95</v>
      </c>
      <c r="B205" s="23" t="s">
        <v>150</v>
      </c>
      <c r="C205" s="23">
        <v>4277</v>
      </c>
    </row>
    <row r="206" spans="1:3" ht="15.6" x14ac:dyDescent="0.3">
      <c r="A206" s="23" t="s">
        <v>157</v>
      </c>
      <c r="B206" s="23" t="s">
        <v>152</v>
      </c>
      <c r="C206" s="23">
        <v>4291</v>
      </c>
    </row>
    <row r="207" spans="1:3" ht="15.6" x14ac:dyDescent="0.3">
      <c r="A207" s="23" t="s">
        <v>93</v>
      </c>
      <c r="B207" s="23" t="s">
        <v>150</v>
      </c>
      <c r="C207" s="23">
        <v>4306</v>
      </c>
    </row>
    <row r="208" spans="1:3" ht="15.6" x14ac:dyDescent="0.3">
      <c r="A208" s="23" t="s">
        <v>157</v>
      </c>
      <c r="B208" s="23" t="s">
        <v>128</v>
      </c>
      <c r="C208" s="23">
        <v>4339</v>
      </c>
    </row>
    <row r="209" spans="1:3" ht="15.6" x14ac:dyDescent="0.3">
      <c r="A209" s="23" t="s">
        <v>157</v>
      </c>
      <c r="B209" s="23" t="s">
        <v>128</v>
      </c>
      <c r="C209" s="23">
        <v>4391</v>
      </c>
    </row>
    <row r="210" spans="1:3" ht="15.6" x14ac:dyDescent="0.3">
      <c r="A210" s="23" t="s">
        <v>157</v>
      </c>
      <c r="B210" s="23" t="s">
        <v>128</v>
      </c>
      <c r="C210" s="23">
        <v>4397</v>
      </c>
    </row>
    <row r="211" spans="1:3" ht="15.6" x14ac:dyDescent="0.3">
      <c r="A211" s="23" t="s">
        <v>93</v>
      </c>
      <c r="B211" s="23" t="s">
        <v>128</v>
      </c>
      <c r="C211" s="23">
        <v>4397</v>
      </c>
    </row>
    <row r="212" spans="1:3" ht="15.6" x14ac:dyDescent="0.3">
      <c r="A212" s="23" t="s">
        <v>151</v>
      </c>
      <c r="B212" s="23" t="s">
        <v>152</v>
      </c>
      <c r="C212" s="23">
        <v>4404</v>
      </c>
    </row>
    <row r="213" spans="1:3" ht="15.6" x14ac:dyDescent="0.3">
      <c r="A213" s="23" t="s">
        <v>113</v>
      </c>
      <c r="B213" s="23" t="s">
        <v>152</v>
      </c>
      <c r="C213" s="23">
        <v>4410</v>
      </c>
    </row>
    <row r="214" spans="1:3" ht="15.6" x14ac:dyDescent="0.3">
      <c r="A214" s="23" t="s">
        <v>157</v>
      </c>
      <c r="B214" s="23" t="s">
        <v>152</v>
      </c>
      <c r="C214" s="23">
        <v>4436</v>
      </c>
    </row>
    <row r="215" spans="1:3" ht="15.6" x14ac:dyDescent="0.3">
      <c r="A215" s="23" t="s">
        <v>93</v>
      </c>
      <c r="B215" s="23" t="s">
        <v>150</v>
      </c>
      <c r="C215" s="23">
        <v>4449</v>
      </c>
    </row>
    <row r="216" spans="1:3" ht="15.6" x14ac:dyDescent="0.3">
      <c r="A216" s="23" t="s">
        <v>157</v>
      </c>
      <c r="B216" s="23" t="s">
        <v>150</v>
      </c>
      <c r="C216" s="23">
        <v>4546</v>
      </c>
    </row>
    <row r="217" spans="1:3" ht="15.6" x14ac:dyDescent="0.3">
      <c r="A217" s="23" t="s">
        <v>151</v>
      </c>
      <c r="B217" s="23" t="s">
        <v>150</v>
      </c>
      <c r="C217" s="23">
        <v>4562</v>
      </c>
    </row>
    <row r="218" spans="1:3" ht="15.6" x14ac:dyDescent="0.3">
      <c r="A218" s="23" t="s">
        <v>93</v>
      </c>
      <c r="B218" s="23" t="s">
        <v>150</v>
      </c>
      <c r="C218" s="23">
        <v>4567</v>
      </c>
    </row>
    <row r="219" spans="1:3" ht="15.6" x14ac:dyDescent="0.3">
      <c r="A219" s="23" t="s">
        <v>157</v>
      </c>
      <c r="B219" s="23" t="s">
        <v>150</v>
      </c>
      <c r="C219" s="23">
        <v>4572</v>
      </c>
    </row>
    <row r="220" spans="1:3" ht="15.6" x14ac:dyDescent="0.3">
      <c r="A220" s="23" t="s">
        <v>93</v>
      </c>
      <c r="B220" s="23" t="s">
        <v>128</v>
      </c>
      <c r="C220" s="23">
        <v>4574</v>
      </c>
    </row>
    <row r="221" spans="1:3" ht="15.6" x14ac:dyDescent="0.3">
      <c r="A221" s="23" t="s">
        <v>157</v>
      </c>
      <c r="B221" s="23" t="s">
        <v>150</v>
      </c>
      <c r="C221" s="23">
        <v>4579</v>
      </c>
    </row>
    <row r="222" spans="1:3" ht="15.6" x14ac:dyDescent="0.3">
      <c r="A222" s="23" t="s">
        <v>157</v>
      </c>
      <c r="B222" s="23" t="s">
        <v>150</v>
      </c>
      <c r="C222" s="23">
        <v>4592</v>
      </c>
    </row>
    <row r="223" spans="1:3" ht="15.6" x14ac:dyDescent="0.3">
      <c r="A223" s="23" t="s">
        <v>95</v>
      </c>
      <c r="B223" s="23" t="s">
        <v>128</v>
      </c>
      <c r="C223" s="23">
        <v>4616</v>
      </c>
    </row>
    <row r="224" spans="1:3" ht="15.6" x14ac:dyDescent="0.3">
      <c r="A224" s="23" t="s">
        <v>113</v>
      </c>
      <c r="B224" s="23" t="s">
        <v>150</v>
      </c>
      <c r="C224" s="23">
        <v>4622</v>
      </c>
    </row>
    <row r="225" spans="1:3" ht="15.6" x14ac:dyDescent="0.3">
      <c r="A225" s="23" t="s">
        <v>93</v>
      </c>
      <c r="B225" s="23" t="s">
        <v>150</v>
      </c>
      <c r="C225" s="23">
        <v>4660</v>
      </c>
    </row>
    <row r="226" spans="1:3" ht="15.6" x14ac:dyDescent="0.3">
      <c r="A226" s="23" t="s">
        <v>151</v>
      </c>
      <c r="B226" s="23" t="s">
        <v>150</v>
      </c>
      <c r="C226" s="23">
        <v>4679</v>
      </c>
    </row>
    <row r="227" spans="1:3" ht="15.6" x14ac:dyDescent="0.3">
      <c r="A227" s="23" t="s">
        <v>93</v>
      </c>
      <c r="B227" s="23" t="s">
        <v>152</v>
      </c>
      <c r="C227" s="23">
        <v>4696</v>
      </c>
    </row>
    <row r="228" spans="1:3" ht="15.6" x14ac:dyDescent="0.3">
      <c r="A228" s="23" t="s">
        <v>92</v>
      </c>
      <c r="B228" s="23" t="s">
        <v>152</v>
      </c>
      <c r="C228" s="23">
        <v>4697</v>
      </c>
    </row>
    <row r="229" spans="1:3" ht="15.6" x14ac:dyDescent="0.3">
      <c r="A229" s="23" t="s">
        <v>95</v>
      </c>
      <c r="B229" s="23" t="s">
        <v>152</v>
      </c>
      <c r="C229" s="23">
        <v>4697</v>
      </c>
    </row>
    <row r="230" spans="1:3" ht="15.6" x14ac:dyDescent="0.3">
      <c r="A230" s="23" t="s">
        <v>92</v>
      </c>
      <c r="B230" s="23" t="s">
        <v>128</v>
      </c>
      <c r="C230" s="23">
        <v>4709</v>
      </c>
    </row>
    <row r="231" spans="1:3" ht="15.6" x14ac:dyDescent="0.3">
      <c r="A231" s="23" t="s">
        <v>157</v>
      </c>
      <c r="B231" s="23" t="s">
        <v>150</v>
      </c>
      <c r="C231" s="23">
        <v>4735</v>
      </c>
    </row>
    <row r="232" spans="1:3" ht="15.6" x14ac:dyDescent="0.3">
      <c r="A232" s="23" t="s">
        <v>93</v>
      </c>
      <c r="B232" s="23" t="s">
        <v>150</v>
      </c>
      <c r="C232" s="23">
        <v>4749</v>
      </c>
    </row>
    <row r="233" spans="1:3" ht="15.6" x14ac:dyDescent="0.3">
      <c r="A233" s="23" t="s">
        <v>151</v>
      </c>
      <c r="B233" s="23" t="s">
        <v>128</v>
      </c>
      <c r="C233" s="23">
        <v>4768</v>
      </c>
    </row>
    <row r="234" spans="1:3" ht="15.6" x14ac:dyDescent="0.3">
      <c r="A234" s="23" t="s">
        <v>95</v>
      </c>
      <c r="B234" s="23" t="s">
        <v>150</v>
      </c>
      <c r="C234" s="23">
        <v>4815</v>
      </c>
    </row>
    <row r="235" spans="1:3" ht="15.6" x14ac:dyDescent="0.3">
      <c r="A235" s="23" t="s">
        <v>93</v>
      </c>
      <c r="B235" s="23" t="s">
        <v>152</v>
      </c>
      <c r="C235" s="23">
        <v>4843</v>
      </c>
    </row>
    <row r="236" spans="1:3" ht="15.6" x14ac:dyDescent="0.3">
      <c r="A236" s="23" t="s">
        <v>93</v>
      </c>
      <c r="B236" s="23" t="s">
        <v>150</v>
      </c>
      <c r="C236" s="23">
        <v>4852</v>
      </c>
    </row>
    <row r="237" spans="1:3" ht="15.6" x14ac:dyDescent="0.3">
      <c r="A237" s="23" t="s">
        <v>113</v>
      </c>
      <c r="B237" s="23" t="s">
        <v>150</v>
      </c>
      <c r="C237" s="23">
        <v>4870</v>
      </c>
    </row>
    <row r="238" spans="1:3" ht="15.6" x14ac:dyDescent="0.3">
      <c r="A238" s="23" t="s">
        <v>113</v>
      </c>
      <c r="B238" s="23" t="s">
        <v>128</v>
      </c>
      <c r="C238" s="23">
        <v>4896</v>
      </c>
    </row>
    <row r="239" spans="1:3" ht="15.6" x14ac:dyDescent="0.3">
      <c r="A239" s="23" t="s">
        <v>95</v>
      </c>
      <c r="B239" s="23" t="s">
        <v>152</v>
      </c>
      <c r="C239" s="23">
        <v>4943</v>
      </c>
    </row>
    <row r="240" spans="1:3" ht="15.6" x14ac:dyDescent="0.3">
      <c r="A240" s="23" t="s">
        <v>113</v>
      </c>
      <c r="B240" s="23" t="s">
        <v>150</v>
      </c>
      <c r="C240" s="23">
        <v>5000</v>
      </c>
    </row>
    <row r="241" spans="1:3" ht="15.6" x14ac:dyDescent="0.3">
      <c r="A241" s="23" t="s">
        <v>113</v>
      </c>
      <c r="B241" s="23" t="s">
        <v>152</v>
      </c>
      <c r="C241" s="23">
        <v>5004</v>
      </c>
    </row>
    <row r="242" spans="1:3" ht="15.6" x14ac:dyDescent="0.3">
      <c r="A242" s="23" t="s">
        <v>95</v>
      </c>
      <c r="B242" s="23" t="s">
        <v>152</v>
      </c>
      <c r="C242" s="23">
        <v>5006</v>
      </c>
    </row>
    <row r="243" spans="1:3" ht="15.6" x14ac:dyDescent="0.3">
      <c r="A243" s="23" t="s">
        <v>151</v>
      </c>
      <c r="B243" s="23" t="s">
        <v>128</v>
      </c>
      <c r="C243" s="23">
        <v>5008</v>
      </c>
    </row>
    <row r="244" spans="1:3" ht="15.6" x14ac:dyDescent="0.3">
      <c r="A244" s="23" t="s">
        <v>93</v>
      </c>
      <c r="B244" s="23" t="s">
        <v>152</v>
      </c>
      <c r="C244" s="23">
        <v>5021</v>
      </c>
    </row>
    <row r="245" spans="1:3" ht="15.6" x14ac:dyDescent="0.3">
      <c r="A245" s="23" t="s">
        <v>93</v>
      </c>
      <c r="B245" s="23" t="s">
        <v>152</v>
      </c>
      <c r="C245" s="23">
        <v>5021</v>
      </c>
    </row>
    <row r="246" spans="1:3" ht="15.6" x14ac:dyDescent="0.3">
      <c r="A246" s="23" t="s">
        <v>93</v>
      </c>
      <c r="B246" s="23" t="s">
        <v>128</v>
      </c>
      <c r="C246" s="23">
        <v>5022</v>
      </c>
    </row>
    <row r="247" spans="1:3" ht="15.6" x14ac:dyDescent="0.3">
      <c r="A247" s="23" t="s">
        <v>157</v>
      </c>
      <c r="B247" s="23" t="s">
        <v>150</v>
      </c>
      <c r="C247" s="23">
        <v>5031</v>
      </c>
    </row>
    <row r="248" spans="1:3" ht="15.6" x14ac:dyDescent="0.3">
      <c r="A248" s="23" t="s">
        <v>95</v>
      </c>
      <c r="B248" s="23" t="s">
        <v>150</v>
      </c>
      <c r="C248" s="23">
        <v>5040</v>
      </c>
    </row>
    <row r="249" spans="1:3" ht="15.6" x14ac:dyDescent="0.3">
      <c r="A249" s="23" t="s">
        <v>95</v>
      </c>
      <c r="B249" s="23" t="s">
        <v>152</v>
      </c>
      <c r="C249" s="23">
        <v>5050</v>
      </c>
    </row>
    <row r="250" spans="1:3" ht="15.6" x14ac:dyDescent="0.3">
      <c r="A250" s="23" t="s">
        <v>157</v>
      </c>
      <c r="B250" s="23" t="s">
        <v>152</v>
      </c>
      <c r="C250" s="23">
        <v>5055</v>
      </c>
    </row>
    <row r="251" spans="1:3" ht="15.6" x14ac:dyDescent="0.3">
      <c r="A251" s="23" t="s">
        <v>93</v>
      </c>
      <c r="B251" s="23" t="s">
        <v>150</v>
      </c>
      <c r="C251" s="23">
        <v>5064</v>
      </c>
    </row>
    <row r="252" spans="1:3" ht="15.6" x14ac:dyDescent="0.3">
      <c r="A252" s="23" t="s">
        <v>157</v>
      </c>
      <c r="B252" s="23" t="s">
        <v>128</v>
      </c>
      <c r="C252" s="23">
        <v>5068</v>
      </c>
    </row>
    <row r="253" spans="1:3" ht="15.6" x14ac:dyDescent="0.3">
      <c r="A253" s="23" t="s">
        <v>95</v>
      </c>
      <c r="B253" s="23" t="s">
        <v>152</v>
      </c>
      <c r="C253" s="23">
        <v>5069</v>
      </c>
    </row>
    <row r="254" spans="1:3" ht="15.6" x14ac:dyDescent="0.3">
      <c r="A254" s="23" t="s">
        <v>93</v>
      </c>
      <c r="B254" s="23" t="s">
        <v>152</v>
      </c>
      <c r="C254" s="23">
        <v>5072</v>
      </c>
    </row>
    <row r="255" spans="1:3" ht="15.6" x14ac:dyDescent="0.3">
      <c r="A255" s="23" t="s">
        <v>113</v>
      </c>
      <c r="B255" s="23" t="s">
        <v>150</v>
      </c>
      <c r="C255" s="23">
        <v>5073</v>
      </c>
    </row>
    <row r="256" spans="1:3" ht="15.6" x14ac:dyDescent="0.3">
      <c r="A256" s="23" t="s">
        <v>95</v>
      </c>
      <c r="B256" s="23" t="s">
        <v>152</v>
      </c>
      <c r="C256" s="23">
        <v>5080</v>
      </c>
    </row>
    <row r="257" spans="1:3" ht="15.6" x14ac:dyDescent="0.3">
      <c r="A257" s="23" t="s">
        <v>95</v>
      </c>
      <c r="B257" s="23" t="s">
        <v>128</v>
      </c>
      <c r="C257" s="23">
        <v>5082</v>
      </c>
    </row>
    <row r="258" spans="1:3" ht="15.6" x14ac:dyDescent="0.3">
      <c r="A258" s="23" t="s">
        <v>113</v>
      </c>
      <c r="B258" s="23" t="s">
        <v>150</v>
      </c>
      <c r="C258" s="23">
        <v>5086</v>
      </c>
    </row>
    <row r="259" spans="1:3" ht="15.6" x14ac:dyDescent="0.3">
      <c r="A259" s="23" t="s">
        <v>95</v>
      </c>
      <c r="B259" s="23" t="s">
        <v>112</v>
      </c>
      <c r="C259" s="23">
        <v>5087</v>
      </c>
    </row>
    <row r="260" spans="1:3" ht="15.6" x14ac:dyDescent="0.3">
      <c r="A260" s="23" t="s">
        <v>93</v>
      </c>
      <c r="B260" s="23" t="s">
        <v>150</v>
      </c>
      <c r="C260" s="23">
        <v>5088</v>
      </c>
    </row>
    <row r="261" spans="1:3" ht="15.6" x14ac:dyDescent="0.3">
      <c r="A261" s="23" t="s">
        <v>92</v>
      </c>
      <c r="B261" s="23" t="s">
        <v>152</v>
      </c>
      <c r="C261" s="23">
        <v>5090</v>
      </c>
    </row>
    <row r="262" spans="1:3" ht="15.6" x14ac:dyDescent="0.3">
      <c r="A262" s="23" t="s">
        <v>93</v>
      </c>
      <c r="B262" s="23" t="s">
        <v>128</v>
      </c>
      <c r="C262" s="23">
        <v>5099</v>
      </c>
    </row>
    <row r="263" spans="1:3" ht="15.6" x14ac:dyDescent="0.3">
      <c r="A263" s="23" t="s">
        <v>157</v>
      </c>
      <c r="B263" s="23" t="s">
        <v>128</v>
      </c>
      <c r="C263" s="23">
        <v>5121</v>
      </c>
    </row>
    <row r="264" spans="1:3" ht="15.6" x14ac:dyDescent="0.3">
      <c r="A264" s="23" t="s">
        <v>93</v>
      </c>
      <c r="B264" s="23" t="s">
        <v>152</v>
      </c>
      <c r="C264" s="23">
        <v>5163</v>
      </c>
    </row>
    <row r="265" spans="1:3" ht="15.6" x14ac:dyDescent="0.3">
      <c r="A265" s="23" t="s">
        <v>92</v>
      </c>
      <c r="B265" s="23" t="s">
        <v>150</v>
      </c>
      <c r="C265" s="23">
        <v>5181</v>
      </c>
    </row>
    <row r="266" spans="1:3" ht="15.6" x14ac:dyDescent="0.3">
      <c r="A266" s="23" t="s">
        <v>151</v>
      </c>
      <c r="B266" s="23" t="s">
        <v>150</v>
      </c>
      <c r="C266" s="23">
        <v>5220</v>
      </c>
    </row>
    <row r="267" spans="1:3" ht="15.6" x14ac:dyDescent="0.3">
      <c r="A267" s="23" t="s">
        <v>151</v>
      </c>
      <c r="B267" s="23" t="s">
        <v>152</v>
      </c>
      <c r="C267" s="23">
        <v>5242</v>
      </c>
    </row>
    <row r="268" spans="1:3" ht="15.6" x14ac:dyDescent="0.3">
      <c r="A268" s="23" t="s">
        <v>157</v>
      </c>
      <c r="B268" s="23" t="s">
        <v>152</v>
      </c>
      <c r="C268" s="23">
        <v>5296</v>
      </c>
    </row>
    <row r="269" spans="1:3" ht="15.6" x14ac:dyDescent="0.3">
      <c r="A269" s="23" t="s">
        <v>93</v>
      </c>
      <c r="B269" s="23" t="s">
        <v>150</v>
      </c>
      <c r="C269" s="23">
        <v>5308</v>
      </c>
    </row>
    <row r="270" spans="1:3" ht="15.6" x14ac:dyDescent="0.3">
      <c r="A270" s="23" t="s">
        <v>95</v>
      </c>
      <c r="B270" s="23" t="s">
        <v>150</v>
      </c>
      <c r="C270" s="23">
        <v>5348</v>
      </c>
    </row>
    <row r="271" spans="1:3" ht="15.6" x14ac:dyDescent="0.3">
      <c r="A271" s="23" t="s">
        <v>93</v>
      </c>
      <c r="B271" s="23" t="s">
        <v>128</v>
      </c>
      <c r="C271" s="23">
        <v>5390</v>
      </c>
    </row>
    <row r="272" spans="1:3" ht="15.6" x14ac:dyDescent="0.3">
      <c r="A272" s="23" t="s">
        <v>93</v>
      </c>
      <c r="B272" s="23" t="s">
        <v>152</v>
      </c>
      <c r="C272" s="23">
        <v>5409</v>
      </c>
    </row>
    <row r="273" spans="1:3" ht="15.6" x14ac:dyDescent="0.3">
      <c r="A273" s="23" t="s">
        <v>93</v>
      </c>
      <c r="B273" s="23" t="s">
        <v>150</v>
      </c>
      <c r="C273" s="23">
        <v>5425</v>
      </c>
    </row>
    <row r="274" spans="1:3" ht="15.6" x14ac:dyDescent="0.3">
      <c r="A274" s="23" t="s">
        <v>113</v>
      </c>
      <c r="B274" s="23" t="s">
        <v>128</v>
      </c>
      <c r="C274" s="23">
        <v>5458</v>
      </c>
    </row>
    <row r="275" spans="1:3" ht="15.6" x14ac:dyDescent="0.3">
      <c r="A275" s="23" t="s">
        <v>157</v>
      </c>
      <c r="B275" s="23" t="s">
        <v>152</v>
      </c>
      <c r="C275" s="23">
        <v>5461</v>
      </c>
    </row>
    <row r="276" spans="1:3" ht="15.6" x14ac:dyDescent="0.3">
      <c r="A276" s="23" t="s">
        <v>93</v>
      </c>
      <c r="B276" s="23" t="s">
        <v>152</v>
      </c>
      <c r="C276" s="23">
        <v>5487</v>
      </c>
    </row>
    <row r="277" spans="1:3" ht="15.6" x14ac:dyDescent="0.3">
      <c r="A277" s="23" t="s">
        <v>157</v>
      </c>
      <c r="B277" s="23" t="s">
        <v>150</v>
      </c>
      <c r="C277" s="23">
        <v>5532</v>
      </c>
    </row>
    <row r="278" spans="1:3" ht="15.6" x14ac:dyDescent="0.3">
      <c r="A278" s="23" t="s">
        <v>93</v>
      </c>
      <c r="B278" s="23" t="s">
        <v>150</v>
      </c>
      <c r="C278" s="23">
        <v>5543</v>
      </c>
    </row>
    <row r="279" spans="1:3" ht="15.6" x14ac:dyDescent="0.3">
      <c r="A279" s="23" t="s">
        <v>93</v>
      </c>
      <c r="B279" s="23" t="s">
        <v>152</v>
      </c>
      <c r="C279" s="23">
        <v>5585</v>
      </c>
    </row>
    <row r="280" spans="1:3" ht="15.6" x14ac:dyDescent="0.3">
      <c r="A280" s="23" t="s">
        <v>95</v>
      </c>
      <c r="B280" s="23" t="s">
        <v>150</v>
      </c>
      <c r="C280" s="23">
        <v>5628</v>
      </c>
    </row>
    <row r="281" spans="1:3" ht="15.6" x14ac:dyDescent="0.3">
      <c r="A281" s="23" t="s">
        <v>151</v>
      </c>
      <c r="B281" s="23" t="s">
        <v>152</v>
      </c>
      <c r="C281" s="23">
        <v>5630</v>
      </c>
    </row>
    <row r="282" spans="1:3" ht="15.6" x14ac:dyDescent="0.3">
      <c r="A282" s="23" t="s">
        <v>95</v>
      </c>
      <c r="B282" s="23" t="s">
        <v>128</v>
      </c>
      <c r="C282" s="23">
        <v>5657</v>
      </c>
    </row>
    <row r="283" spans="1:3" ht="15.6" x14ac:dyDescent="0.3">
      <c r="A283" s="23" t="s">
        <v>93</v>
      </c>
      <c r="B283" s="23" t="s">
        <v>152</v>
      </c>
      <c r="C283" s="23">
        <v>5667</v>
      </c>
    </row>
    <row r="284" spans="1:3" ht="15.6" x14ac:dyDescent="0.3">
      <c r="A284" s="23" t="s">
        <v>157</v>
      </c>
      <c r="B284" s="23" t="s">
        <v>152</v>
      </c>
      <c r="C284" s="23">
        <v>5682</v>
      </c>
    </row>
    <row r="285" spans="1:3" ht="15.6" x14ac:dyDescent="0.3">
      <c r="A285" s="23" t="s">
        <v>93</v>
      </c>
      <c r="B285" s="23" t="s">
        <v>152</v>
      </c>
      <c r="C285" s="23">
        <v>5691</v>
      </c>
    </row>
    <row r="286" spans="1:3" ht="15.6" x14ac:dyDescent="0.3">
      <c r="A286" s="23" t="s">
        <v>92</v>
      </c>
      <c r="B286" s="23" t="s">
        <v>152</v>
      </c>
      <c r="C286" s="23">
        <v>5752</v>
      </c>
    </row>
    <row r="287" spans="1:3" ht="15.6" x14ac:dyDescent="0.3">
      <c r="A287" s="23" t="s">
        <v>93</v>
      </c>
      <c r="B287" s="23" t="s">
        <v>152</v>
      </c>
      <c r="C287" s="23">
        <v>5773</v>
      </c>
    </row>
    <row r="288" spans="1:3" ht="15.6" x14ac:dyDescent="0.3">
      <c r="A288" s="23" t="s">
        <v>151</v>
      </c>
      <c r="B288" s="23" t="s">
        <v>152</v>
      </c>
      <c r="C288" s="23">
        <v>5814</v>
      </c>
    </row>
    <row r="289" spans="1:3" ht="15.6" x14ac:dyDescent="0.3">
      <c r="A289" s="23" t="s">
        <v>151</v>
      </c>
      <c r="B289" s="23" t="s">
        <v>152</v>
      </c>
      <c r="C289" s="23">
        <v>5815</v>
      </c>
    </row>
    <row r="290" spans="1:3" ht="15.6" x14ac:dyDescent="0.3">
      <c r="A290" s="23" t="s">
        <v>93</v>
      </c>
      <c r="B290" s="23" t="s">
        <v>128</v>
      </c>
      <c r="C290" s="23">
        <v>5830</v>
      </c>
    </row>
    <row r="291" spans="1:3" ht="15.6" x14ac:dyDescent="0.3">
      <c r="A291" s="23" t="s">
        <v>157</v>
      </c>
      <c r="B291" s="23" t="s">
        <v>150</v>
      </c>
      <c r="C291" s="23">
        <v>5888</v>
      </c>
    </row>
    <row r="292" spans="1:3" ht="15.6" x14ac:dyDescent="0.3">
      <c r="A292" s="23" t="s">
        <v>157</v>
      </c>
      <c r="B292" s="23" t="s">
        <v>150</v>
      </c>
      <c r="C292" s="23">
        <v>5918</v>
      </c>
    </row>
    <row r="293" spans="1:3" ht="15.6" x14ac:dyDescent="0.3">
      <c r="A293" s="23" t="s">
        <v>151</v>
      </c>
      <c r="B293" s="23" t="s">
        <v>150</v>
      </c>
      <c r="C293" s="23">
        <v>5933</v>
      </c>
    </row>
    <row r="294" spans="1:3" ht="15.6" x14ac:dyDescent="0.3">
      <c r="A294" s="23" t="s">
        <v>113</v>
      </c>
      <c r="B294" s="23" t="s">
        <v>150</v>
      </c>
      <c r="C294" s="23">
        <v>5953</v>
      </c>
    </row>
    <row r="295" spans="1:3" ht="15.6" x14ac:dyDescent="0.3">
      <c r="A295" s="23" t="s">
        <v>157</v>
      </c>
      <c r="B295" s="23" t="s">
        <v>152</v>
      </c>
      <c r="C295" s="23">
        <v>5959</v>
      </c>
    </row>
    <row r="296" spans="1:3" ht="15.6" x14ac:dyDescent="0.3">
      <c r="A296" s="23" t="s">
        <v>157</v>
      </c>
      <c r="B296" s="23" t="s">
        <v>150</v>
      </c>
      <c r="C296" s="23">
        <v>5978</v>
      </c>
    </row>
    <row r="297" spans="1:3" ht="15.6" x14ac:dyDescent="0.3">
      <c r="A297" s="23" t="s">
        <v>93</v>
      </c>
      <c r="B297" s="23" t="s">
        <v>152</v>
      </c>
      <c r="C297" s="23">
        <v>6002</v>
      </c>
    </row>
    <row r="298" spans="1:3" ht="15.6" x14ac:dyDescent="0.3">
      <c r="A298" s="23" t="s">
        <v>93</v>
      </c>
      <c r="B298" s="23" t="s">
        <v>150</v>
      </c>
      <c r="C298" s="23">
        <v>6003</v>
      </c>
    </row>
    <row r="299" spans="1:3" ht="15.6" x14ac:dyDescent="0.3">
      <c r="A299" s="23" t="s">
        <v>151</v>
      </c>
      <c r="B299" s="23" t="s">
        <v>152</v>
      </c>
      <c r="C299" s="23">
        <v>6009</v>
      </c>
    </row>
    <row r="300" spans="1:3" ht="15.6" x14ac:dyDescent="0.3">
      <c r="A300" s="23" t="s">
        <v>151</v>
      </c>
      <c r="B300" s="23" t="s">
        <v>128</v>
      </c>
      <c r="C300" s="23">
        <v>6018</v>
      </c>
    </row>
    <row r="301" spans="1:3" ht="15.6" x14ac:dyDescent="0.3">
      <c r="A301" s="23" t="s">
        <v>113</v>
      </c>
      <c r="B301" s="23" t="s">
        <v>150</v>
      </c>
      <c r="C301" s="23">
        <v>6019</v>
      </c>
    </row>
    <row r="302" spans="1:3" ht="15.6" x14ac:dyDescent="0.3">
      <c r="A302" s="23" t="s">
        <v>93</v>
      </c>
      <c r="B302" s="23" t="s">
        <v>152</v>
      </c>
      <c r="C302" s="23">
        <v>6022</v>
      </c>
    </row>
    <row r="303" spans="1:3" ht="15.6" x14ac:dyDescent="0.3">
      <c r="A303" s="23" t="s">
        <v>113</v>
      </c>
      <c r="B303" s="23" t="s">
        <v>152</v>
      </c>
      <c r="C303" s="23">
        <v>6022</v>
      </c>
    </row>
    <row r="304" spans="1:3" ht="15.6" x14ac:dyDescent="0.3">
      <c r="A304" s="23" t="s">
        <v>95</v>
      </c>
      <c r="B304" s="23" t="s">
        <v>152</v>
      </c>
      <c r="C304" s="23">
        <v>6024</v>
      </c>
    </row>
    <row r="305" spans="1:3" ht="15.6" x14ac:dyDescent="0.3">
      <c r="A305" s="23" t="s">
        <v>93</v>
      </c>
      <c r="B305" s="23" t="s">
        <v>152</v>
      </c>
      <c r="C305" s="23">
        <v>6027</v>
      </c>
    </row>
    <row r="306" spans="1:3" ht="15.6" x14ac:dyDescent="0.3">
      <c r="A306" s="23" t="s">
        <v>95</v>
      </c>
      <c r="B306" s="23" t="s">
        <v>152</v>
      </c>
      <c r="C306" s="23">
        <v>6037</v>
      </c>
    </row>
    <row r="307" spans="1:3" ht="15.6" x14ac:dyDescent="0.3">
      <c r="A307" s="23" t="s">
        <v>93</v>
      </c>
      <c r="B307" s="23" t="s">
        <v>150</v>
      </c>
      <c r="C307" s="23">
        <v>6041</v>
      </c>
    </row>
    <row r="308" spans="1:3" ht="15.6" x14ac:dyDescent="0.3">
      <c r="A308" s="23" t="s">
        <v>151</v>
      </c>
      <c r="B308" s="23" t="s">
        <v>150</v>
      </c>
      <c r="C308" s="23">
        <v>6041</v>
      </c>
    </row>
    <row r="309" spans="1:3" ht="15.6" x14ac:dyDescent="0.3">
      <c r="A309" s="23" t="s">
        <v>93</v>
      </c>
      <c r="B309" s="23" t="s">
        <v>150</v>
      </c>
      <c r="C309" s="23">
        <v>6042</v>
      </c>
    </row>
    <row r="310" spans="1:3" ht="15.6" x14ac:dyDescent="0.3">
      <c r="A310" s="23" t="s">
        <v>93</v>
      </c>
      <c r="B310" s="23" t="s">
        <v>150</v>
      </c>
      <c r="C310" s="23">
        <v>6062</v>
      </c>
    </row>
    <row r="311" spans="1:3" ht="15.6" x14ac:dyDescent="0.3">
      <c r="A311" s="23" t="s">
        <v>157</v>
      </c>
      <c r="B311" s="23" t="s">
        <v>152</v>
      </c>
      <c r="C311" s="23">
        <v>6064</v>
      </c>
    </row>
    <row r="312" spans="1:3" ht="15.6" x14ac:dyDescent="0.3">
      <c r="A312" s="23" t="s">
        <v>157</v>
      </c>
      <c r="B312" s="23" t="s">
        <v>152</v>
      </c>
      <c r="C312" s="23">
        <v>6088</v>
      </c>
    </row>
    <row r="313" spans="1:3" ht="15.6" x14ac:dyDescent="0.3">
      <c r="A313" s="23" t="s">
        <v>151</v>
      </c>
      <c r="B313" s="23" t="s">
        <v>152</v>
      </c>
      <c r="C313" s="23">
        <v>6107</v>
      </c>
    </row>
    <row r="314" spans="1:3" ht="15.6" x14ac:dyDescent="0.3">
      <c r="A314" s="23" t="s">
        <v>93</v>
      </c>
      <c r="B314" s="23" t="s">
        <v>128</v>
      </c>
      <c r="C314" s="23">
        <v>6207</v>
      </c>
    </row>
    <row r="315" spans="1:3" ht="15.6" x14ac:dyDescent="0.3">
      <c r="A315" s="23" t="s">
        <v>92</v>
      </c>
      <c r="B315" s="23" t="s">
        <v>152</v>
      </c>
      <c r="C315" s="23">
        <v>6240</v>
      </c>
    </row>
    <row r="316" spans="1:3" ht="15.6" x14ac:dyDescent="0.3">
      <c r="A316" s="23" t="s">
        <v>113</v>
      </c>
      <c r="B316" s="23" t="s">
        <v>128</v>
      </c>
      <c r="C316" s="23">
        <v>6247</v>
      </c>
    </row>
    <row r="317" spans="1:3" ht="15.6" x14ac:dyDescent="0.3">
      <c r="A317" s="23" t="s">
        <v>93</v>
      </c>
      <c r="B317" s="23" t="s">
        <v>152</v>
      </c>
      <c r="C317" s="23">
        <v>6343</v>
      </c>
    </row>
    <row r="318" spans="1:3" ht="15.6" x14ac:dyDescent="0.3">
      <c r="A318" s="23" t="s">
        <v>113</v>
      </c>
      <c r="B318" s="23" t="s">
        <v>150</v>
      </c>
      <c r="C318" s="23">
        <v>6359</v>
      </c>
    </row>
    <row r="319" spans="1:3" ht="15.6" x14ac:dyDescent="0.3">
      <c r="A319" s="23" t="s">
        <v>113</v>
      </c>
      <c r="B319" s="23" t="s">
        <v>152</v>
      </c>
      <c r="C319" s="23">
        <v>6398</v>
      </c>
    </row>
    <row r="320" spans="1:3" ht="15.6" x14ac:dyDescent="0.3">
      <c r="A320" s="23" t="s">
        <v>151</v>
      </c>
      <c r="B320" s="23" t="s">
        <v>128</v>
      </c>
      <c r="C320" s="23">
        <v>6399</v>
      </c>
    </row>
    <row r="321" spans="1:3" ht="15.6" x14ac:dyDescent="0.3">
      <c r="A321" s="23" t="s">
        <v>151</v>
      </c>
      <c r="B321" s="23" t="s">
        <v>150</v>
      </c>
      <c r="C321" s="23">
        <v>6460</v>
      </c>
    </row>
    <row r="322" spans="1:3" ht="15.6" x14ac:dyDescent="0.3">
      <c r="A322" s="23" t="s">
        <v>94</v>
      </c>
      <c r="B322" s="23" t="s">
        <v>152</v>
      </c>
      <c r="C322" s="23">
        <v>6465</v>
      </c>
    </row>
    <row r="323" spans="1:3" ht="15.6" x14ac:dyDescent="0.3">
      <c r="A323" s="23" t="s">
        <v>151</v>
      </c>
      <c r="B323" s="23" t="s">
        <v>128</v>
      </c>
      <c r="C323" s="23">
        <v>6570</v>
      </c>
    </row>
    <row r="324" spans="1:3" ht="15.6" x14ac:dyDescent="0.3">
      <c r="A324" s="23" t="s">
        <v>95</v>
      </c>
      <c r="B324" s="23" t="s">
        <v>150</v>
      </c>
      <c r="C324" s="23">
        <v>6598</v>
      </c>
    </row>
    <row r="325" spans="1:3" ht="15.6" x14ac:dyDescent="0.3">
      <c r="A325" s="23" t="s">
        <v>151</v>
      </c>
      <c r="B325" s="23" t="s">
        <v>150</v>
      </c>
      <c r="C325" s="23">
        <v>6610</v>
      </c>
    </row>
    <row r="326" spans="1:3" ht="15.6" x14ac:dyDescent="0.3">
      <c r="A326" s="23" t="s">
        <v>94</v>
      </c>
      <c r="B326" s="23" t="s">
        <v>128</v>
      </c>
      <c r="C326" s="23">
        <v>6626</v>
      </c>
    </row>
    <row r="327" spans="1:3" ht="15.6" x14ac:dyDescent="0.3">
      <c r="A327" s="23" t="s">
        <v>157</v>
      </c>
      <c r="B327" s="23" t="s">
        <v>150</v>
      </c>
      <c r="C327" s="23">
        <v>6632</v>
      </c>
    </row>
    <row r="328" spans="1:3" ht="15.6" x14ac:dyDescent="0.3">
      <c r="A328" s="23" t="s">
        <v>113</v>
      </c>
      <c r="B328" s="23" t="s">
        <v>152</v>
      </c>
      <c r="C328" s="23">
        <v>6687</v>
      </c>
    </row>
    <row r="329" spans="1:3" ht="15.6" x14ac:dyDescent="0.3">
      <c r="A329" s="23" t="s">
        <v>157</v>
      </c>
      <c r="B329" s="23" t="s">
        <v>152</v>
      </c>
      <c r="C329" s="23">
        <v>6706</v>
      </c>
    </row>
    <row r="330" spans="1:3" ht="15.6" x14ac:dyDescent="0.3">
      <c r="A330" s="23" t="s">
        <v>151</v>
      </c>
      <c r="B330" s="23" t="s">
        <v>128</v>
      </c>
      <c r="C330" s="23">
        <v>6745</v>
      </c>
    </row>
    <row r="331" spans="1:3" ht="15.6" x14ac:dyDescent="0.3">
      <c r="A331" s="23" t="s">
        <v>113</v>
      </c>
      <c r="B331" s="23" t="s">
        <v>152</v>
      </c>
      <c r="C331" s="23">
        <v>6750</v>
      </c>
    </row>
    <row r="332" spans="1:3" ht="15.6" x14ac:dyDescent="0.3">
      <c r="A332" s="23" t="s">
        <v>93</v>
      </c>
      <c r="B332" s="23" t="s">
        <v>152</v>
      </c>
      <c r="C332" s="23">
        <v>6766</v>
      </c>
    </row>
    <row r="333" spans="1:3" ht="15.6" x14ac:dyDescent="0.3">
      <c r="A333" s="23" t="s">
        <v>113</v>
      </c>
      <c r="B333" s="23" t="s">
        <v>152</v>
      </c>
      <c r="C333" s="23">
        <v>6811</v>
      </c>
    </row>
    <row r="334" spans="1:3" ht="15.6" x14ac:dyDescent="0.3">
      <c r="A334" s="23" t="s">
        <v>151</v>
      </c>
      <c r="B334" s="23" t="s">
        <v>152</v>
      </c>
      <c r="C334" s="23">
        <v>6813</v>
      </c>
    </row>
    <row r="335" spans="1:3" ht="15.6" x14ac:dyDescent="0.3">
      <c r="A335" s="23" t="s">
        <v>95</v>
      </c>
      <c r="B335" s="23" t="s">
        <v>152</v>
      </c>
      <c r="C335" s="23">
        <v>6816</v>
      </c>
    </row>
    <row r="336" spans="1:3" ht="15.6" x14ac:dyDescent="0.3">
      <c r="A336" s="23" t="s">
        <v>93</v>
      </c>
      <c r="B336" s="23" t="s">
        <v>152</v>
      </c>
      <c r="C336" s="23">
        <v>6835</v>
      </c>
    </row>
    <row r="337" spans="1:3" ht="15.6" x14ac:dyDescent="0.3">
      <c r="A337" s="23" t="s">
        <v>151</v>
      </c>
      <c r="B337" s="23" t="s">
        <v>128</v>
      </c>
      <c r="C337" s="23">
        <v>6841</v>
      </c>
    </row>
    <row r="338" spans="1:3" ht="15.6" x14ac:dyDescent="0.3">
      <c r="A338" s="23" t="s">
        <v>151</v>
      </c>
      <c r="B338" s="23" t="s">
        <v>128</v>
      </c>
      <c r="C338" s="23">
        <v>6879</v>
      </c>
    </row>
    <row r="339" spans="1:3" ht="15.6" x14ac:dyDescent="0.3">
      <c r="A339" s="23" t="s">
        <v>94</v>
      </c>
      <c r="B339" s="23" t="s">
        <v>152</v>
      </c>
      <c r="C339" s="23">
        <v>6901</v>
      </c>
    </row>
    <row r="340" spans="1:3" ht="15.6" x14ac:dyDescent="0.3">
      <c r="A340" s="23" t="s">
        <v>157</v>
      </c>
      <c r="B340" s="23" t="s">
        <v>152</v>
      </c>
      <c r="C340" s="23">
        <v>7032</v>
      </c>
    </row>
    <row r="341" spans="1:3" ht="15.6" x14ac:dyDescent="0.3">
      <c r="A341" s="23" t="s">
        <v>93</v>
      </c>
      <c r="B341" s="23" t="s">
        <v>152</v>
      </c>
      <c r="C341" s="23">
        <v>7056</v>
      </c>
    </row>
    <row r="342" spans="1:3" ht="15.6" x14ac:dyDescent="0.3">
      <c r="A342" s="23" t="s">
        <v>95</v>
      </c>
      <c r="B342" s="23" t="s">
        <v>152</v>
      </c>
      <c r="C342" s="23">
        <v>7056</v>
      </c>
    </row>
    <row r="343" spans="1:3" ht="15.6" x14ac:dyDescent="0.3">
      <c r="A343" s="23" t="s">
        <v>151</v>
      </c>
      <c r="B343" s="23" t="s">
        <v>112</v>
      </c>
      <c r="C343" s="23">
        <v>7061</v>
      </c>
    </row>
    <row r="344" spans="1:3" ht="15.6" x14ac:dyDescent="0.3">
      <c r="A344" s="23" t="s">
        <v>113</v>
      </c>
      <c r="B344" s="23" t="s">
        <v>128</v>
      </c>
      <c r="C344" s="23">
        <v>7067</v>
      </c>
    </row>
    <row r="345" spans="1:3" ht="15.6" x14ac:dyDescent="0.3">
      <c r="A345" s="23" t="s">
        <v>151</v>
      </c>
      <c r="B345" s="23" t="s">
        <v>112</v>
      </c>
      <c r="C345" s="23">
        <v>7072</v>
      </c>
    </row>
    <row r="346" spans="1:3" ht="15.6" x14ac:dyDescent="0.3">
      <c r="A346" s="23" t="s">
        <v>157</v>
      </c>
      <c r="B346" s="23" t="s">
        <v>112</v>
      </c>
      <c r="C346" s="23">
        <v>7075</v>
      </c>
    </row>
    <row r="347" spans="1:3" ht="15.6" x14ac:dyDescent="0.3">
      <c r="A347" s="23" t="s">
        <v>151</v>
      </c>
      <c r="B347" s="23" t="s">
        <v>112</v>
      </c>
      <c r="C347" s="23">
        <v>7081</v>
      </c>
    </row>
    <row r="348" spans="1:3" ht="15.6" x14ac:dyDescent="0.3">
      <c r="A348" s="23" t="s">
        <v>157</v>
      </c>
      <c r="B348" s="23" t="s">
        <v>152</v>
      </c>
      <c r="C348" s="23">
        <v>7094</v>
      </c>
    </row>
    <row r="349" spans="1:3" ht="15.6" x14ac:dyDescent="0.3">
      <c r="A349" s="23" t="s">
        <v>93</v>
      </c>
      <c r="B349" s="23" t="s">
        <v>152</v>
      </c>
      <c r="C349" s="23">
        <v>7134</v>
      </c>
    </row>
    <row r="350" spans="1:3" ht="15.6" x14ac:dyDescent="0.3">
      <c r="A350" s="23" t="s">
        <v>151</v>
      </c>
      <c r="B350" s="23" t="s">
        <v>152</v>
      </c>
      <c r="C350" s="23">
        <v>7184</v>
      </c>
    </row>
    <row r="351" spans="1:3" ht="15.6" x14ac:dyDescent="0.3">
      <c r="A351" s="23" t="s">
        <v>113</v>
      </c>
      <c r="B351" s="23" t="s">
        <v>150</v>
      </c>
      <c r="C351" s="23">
        <v>7214</v>
      </c>
    </row>
    <row r="352" spans="1:3" ht="15.6" x14ac:dyDescent="0.3">
      <c r="A352" s="23" t="s">
        <v>157</v>
      </c>
      <c r="B352" s="23" t="s">
        <v>128</v>
      </c>
      <c r="C352" s="23">
        <v>7229</v>
      </c>
    </row>
    <row r="353" spans="1:3" ht="15.6" x14ac:dyDescent="0.3">
      <c r="A353" s="23" t="s">
        <v>94</v>
      </c>
      <c r="B353" s="23" t="s">
        <v>150</v>
      </c>
      <c r="C353" s="23">
        <v>7238</v>
      </c>
    </row>
    <row r="354" spans="1:3" ht="15.6" x14ac:dyDescent="0.3">
      <c r="A354" s="23" t="s">
        <v>95</v>
      </c>
      <c r="B354" s="23" t="s">
        <v>150</v>
      </c>
      <c r="C354" s="23">
        <v>7238</v>
      </c>
    </row>
    <row r="355" spans="1:3" ht="15.6" x14ac:dyDescent="0.3">
      <c r="A355" s="23" t="s">
        <v>113</v>
      </c>
      <c r="B355" s="23" t="s">
        <v>152</v>
      </c>
      <c r="C355" s="23">
        <v>7249</v>
      </c>
    </row>
    <row r="356" spans="1:3" ht="15.6" x14ac:dyDescent="0.3">
      <c r="A356" s="23" t="s">
        <v>93</v>
      </c>
      <c r="B356" s="23" t="s">
        <v>152</v>
      </c>
      <c r="C356" s="23">
        <v>7279</v>
      </c>
    </row>
    <row r="357" spans="1:3" ht="15.6" x14ac:dyDescent="0.3">
      <c r="A357" s="23" t="s">
        <v>95</v>
      </c>
      <c r="B357" s="23" t="s">
        <v>112</v>
      </c>
      <c r="C357" s="23">
        <v>7279</v>
      </c>
    </row>
    <row r="358" spans="1:3" ht="15.6" x14ac:dyDescent="0.3">
      <c r="A358" s="23" t="s">
        <v>95</v>
      </c>
      <c r="B358" s="23" t="s">
        <v>150</v>
      </c>
      <c r="C358" s="23">
        <v>7299</v>
      </c>
    </row>
    <row r="359" spans="1:3" ht="15.6" x14ac:dyDescent="0.3">
      <c r="A359" s="23" t="s">
        <v>95</v>
      </c>
      <c r="B359" s="23" t="s">
        <v>152</v>
      </c>
      <c r="C359" s="23">
        <v>7320</v>
      </c>
    </row>
    <row r="360" spans="1:3" ht="15.6" x14ac:dyDescent="0.3">
      <c r="A360" s="23" t="s">
        <v>113</v>
      </c>
      <c r="B360" s="23" t="s">
        <v>112</v>
      </c>
      <c r="C360" s="23">
        <v>7326</v>
      </c>
    </row>
    <row r="361" spans="1:3" ht="15.6" x14ac:dyDescent="0.3">
      <c r="A361" s="23" t="s">
        <v>151</v>
      </c>
      <c r="B361" s="23" t="s">
        <v>150</v>
      </c>
      <c r="C361" s="23">
        <v>7328</v>
      </c>
    </row>
    <row r="362" spans="1:3" ht="15.6" x14ac:dyDescent="0.3">
      <c r="A362" s="23" t="s">
        <v>157</v>
      </c>
      <c r="B362" s="23" t="s">
        <v>152</v>
      </c>
      <c r="C362" s="23">
        <v>7338</v>
      </c>
    </row>
    <row r="363" spans="1:3" ht="15.6" x14ac:dyDescent="0.3">
      <c r="A363" s="23" t="s">
        <v>93</v>
      </c>
      <c r="B363" s="23" t="s">
        <v>150</v>
      </c>
      <c r="C363" s="23">
        <v>7346</v>
      </c>
    </row>
    <row r="364" spans="1:3" ht="15.6" x14ac:dyDescent="0.3">
      <c r="A364" s="23" t="s">
        <v>151</v>
      </c>
      <c r="B364" s="23" t="s">
        <v>150</v>
      </c>
      <c r="C364" s="23">
        <v>7373</v>
      </c>
    </row>
    <row r="365" spans="1:3" ht="15.6" x14ac:dyDescent="0.3">
      <c r="A365" s="23" t="s">
        <v>157</v>
      </c>
      <c r="B365" s="23" t="s">
        <v>150</v>
      </c>
      <c r="C365" s="23">
        <v>7386</v>
      </c>
    </row>
    <row r="366" spans="1:3" ht="15.6" x14ac:dyDescent="0.3">
      <c r="A366" s="23" t="s">
        <v>113</v>
      </c>
      <c r="B366" s="23" t="s">
        <v>152</v>
      </c>
      <c r="C366" s="23">
        <v>7415</v>
      </c>
    </row>
    <row r="367" spans="1:3" ht="15.6" x14ac:dyDescent="0.3">
      <c r="A367" s="23" t="s">
        <v>157</v>
      </c>
      <c r="B367" s="23" t="s">
        <v>150</v>
      </c>
      <c r="C367" s="23">
        <v>7430</v>
      </c>
    </row>
    <row r="368" spans="1:3" ht="15.6" x14ac:dyDescent="0.3">
      <c r="A368" s="23" t="s">
        <v>95</v>
      </c>
      <c r="B368" s="23" t="s">
        <v>150</v>
      </c>
      <c r="C368" s="23">
        <v>7486</v>
      </c>
    </row>
    <row r="369" spans="1:3" ht="15.6" x14ac:dyDescent="0.3">
      <c r="A369" s="23" t="s">
        <v>95</v>
      </c>
      <c r="B369" s="23" t="s">
        <v>150</v>
      </c>
      <c r="C369" s="23">
        <v>7511</v>
      </c>
    </row>
    <row r="370" spans="1:3" ht="15.6" x14ac:dyDescent="0.3">
      <c r="A370" s="23" t="s">
        <v>93</v>
      </c>
      <c r="B370" s="23" t="s">
        <v>150</v>
      </c>
      <c r="C370" s="23">
        <v>7634</v>
      </c>
    </row>
    <row r="371" spans="1:3" ht="15.6" x14ac:dyDescent="0.3">
      <c r="A371" s="23" t="s">
        <v>95</v>
      </c>
      <c r="B371" s="23" t="s">
        <v>152</v>
      </c>
      <c r="C371" s="23">
        <v>7662</v>
      </c>
    </row>
    <row r="372" spans="1:3" ht="15.6" x14ac:dyDescent="0.3">
      <c r="A372" s="23" t="s">
        <v>157</v>
      </c>
      <c r="B372" s="23" t="s">
        <v>128</v>
      </c>
      <c r="C372" s="23">
        <v>7698</v>
      </c>
    </row>
    <row r="373" spans="1:3" ht="15.6" x14ac:dyDescent="0.3">
      <c r="A373" s="23" t="s">
        <v>95</v>
      </c>
      <c r="B373" s="23" t="s">
        <v>150</v>
      </c>
      <c r="C373" s="23">
        <v>7798</v>
      </c>
    </row>
    <row r="374" spans="1:3" ht="15.6" x14ac:dyDescent="0.3">
      <c r="A374" s="23" t="s">
        <v>113</v>
      </c>
      <c r="B374" s="23" t="s">
        <v>128</v>
      </c>
      <c r="C374" s="23">
        <v>7821</v>
      </c>
    </row>
    <row r="375" spans="1:3" ht="15.6" x14ac:dyDescent="0.3">
      <c r="A375" s="23" t="s">
        <v>113</v>
      </c>
      <c r="B375" s="23" t="s">
        <v>128</v>
      </c>
      <c r="C375" s="23">
        <v>7852</v>
      </c>
    </row>
    <row r="376" spans="1:3" ht="15.6" x14ac:dyDescent="0.3">
      <c r="A376" s="23" t="s">
        <v>113</v>
      </c>
      <c r="B376" s="23" t="s">
        <v>128</v>
      </c>
      <c r="C376" s="23">
        <v>7867</v>
      </c>
    </row>
    <row r="377" spans="1:3" ht="15.6" x14ac:dyDescent="0.3">
      <c r="A377" s="23" t="s">
        <v>93</v>
      </c>
      <c r="B377" s="23" t="s">
        <v>152</v>
      </c>
      <c r="C377" s="23">
        <v>7875</v>
      </c>
    </row>
    <row r="378" spans="1:3" ht="15.6" x14ac:dyDescent="0.3">
      <c r="A378" s="23" t="s">
        <v>113</v>
      </c>
      <c r="B378" s="23" t="s">
        <v>150</v>
      </c>
      <c r="C378" s="23">
        <v>7884</v>
      </c>
    </row>
    <row r="379" spans="1:3" ht="15.6" x14ac:dyDescent="0.3">
      <c r="A379" s="23" t="s">
        <v>95</v>
      </c>
      <c r="B379" s="23" t="s">
        <v>152</v>
      </c>
      <c r="C379" s="23">
        <v>7901</v>
      </c>
    </row>
    <row r="380" spans="1:3" ht="15.6" x14ac:dyDescent="0.3">
      <c r="A380" s="23" t="s">
        <v>95</v>
      </c>
      <c r="B380" s="23" t="s">
        <v>152</v>
      </c>
      <c r="C380" s="23">
        <v>7903</v>
      </c>
    </row>
    <row r="381" spans="1:3" ht="15.6" x14ac:dyDescent="0.3">
      <c r="A381" s="23" t="s">
        <v>93</v>
      </c>
      <c r="B381" s="23" t="s">
        <v>152</v>
      </c>
      <c r="C381" s="23">
        <v>7905</v>
      </c>
    </row>
    <row r="382" spans="1:3" ht="15.6" x14ac:dyDescent="0.3">
      <c r="A382" s="23" t="s">
        <v>113</v>
      </c>
      <c r="B382" s="23" t="s">
        <v>128</v>
      </c>
      <c r="C382" s="23">
        <v>7912</v>
      </c>
    </row>
    <row r="383" spans="1:3" ht="15.6" x14ac:dyDescent="0.3">
      <c r="A383" s="23" t="s">
        <v>113</v>
      </c>
      <c r="B383" s="23" t="s">
        <v>152</v>
      </c>
      <c r="C383" s="23">
        <v>7958</v>
      </c>
    </row>
    <row r="384" spans="1:3" ht="15.6" x14ac:dyDescent="0.3">
      <c r="A384" s="23" t="s">
        <v>92</v>
      </c>
      <c r="B384" s="23" t="s">
        <v>152</v>
      </c>
      <c r="C384" s="23">
        <v>7997</v>
      </c>
    </row>
    <row r="385" spans="1:3" ht="15.6" x14ac:dyDescent="0.3">
      <c r="A385" s="23" t="s">
        <v>157</v>
      </c>
      <c r="B385" s="23" t="s">
        <v>152</v>
      </c>
      <c r="C385" s="23">
        <v>8007</v>
      </c>
    </row>
    <row r="386" spans="1:3" ht="15.6" x14ac:dyDescent="0.3">
      <c r="A386" s="23" t="s">
        <v>93</v>
      </c>
      <c r="B386" s="23" t="s">
        <v>152</v>
      </c>
      <c r="C386" s="23">
        <v>8010</v>
      </c>
    </row>
    <row r="387" spans="1:3" ht="15.6" x14ac:dyDescent="0.3">
      <c r="A387" s="23" t="s">
        <v>93</v>
      </c>
      <c r="B387" s="23" t="s">
        <v>152</v>
      </c>
      <c r="C387" s="23">
        <v>8029</v>
      </c>
    </row>
    <row r="388" spans="1:3" ht="15.6" x14ac:dyDescent="0.3">
      <c r="A388" s="23" t="s">
        <v>157</v>
      </c>
      <c r="B388" s="23" t="s">
        <v>152</v>
      </c>
      <c r="C388" s="23">
        <v>8034</v>
      </c>
    </row>
    <row r="389" spans="1:3" ht="15.6" x14ac:dyDescent="0.3">
      <c r="A389" s="23" t="s">
        <v>93</v>
      </c>
      <c r="B389" s="23" t="s">
        <v>152</v>
      </c>
      <c r="C389" s="23">
        <v>8044</v>
      </c>
    </row>
    <row r="390" spans="1:3" ht="15.6" x14ac:dyDescent="0.3">
      <c r="A390" s="23" t="s">
        <v>92</v>
      </c>
      <c r="B390" s="23" t="s">
        <v>152</v>
      </c>
      <c r="C390" s="23">
        <v>8058</v>
      </c>
    </row>
    <row r="391" spans="1:3" ht="15.6" x14ac:dyDescent="0.3">
      <c r="A391" s="23" t="s">
        <v>113</v>
      </c>
      <c r="B391" s="23" t="s">
        <v>128</v>
      </c>
      <c r="C391" s="23">
        <v>8153</v>
      </c>
    </row>
    <row r="392" spans="1:3" ht="15.6" x14ac:dyDescent="0.3">
      <c r="A392" s="23" t="s">
        <v>151</v>
      </c>
      <c r="B392" s="23" t="s">
        <v>150</v>
      </c>
      <c r="C392" s="23">
        <v>8165</v>
      </c>
    </row>
    <row r="393" spans="1:3" ht="15.6" x14ac:dyDescent="0.3">
      <c r="A393" s="23" t="s">
        <v>157</v>
      </c>
      <c r="B393" s="23" t="s">
        <v>128</v>
      </c>
      <c r="C393" s="23">
        <v>8261</v>
      </c>
    </row>
    <row r="394" spans="1:3" ht="15.6" x14ac:dyDescent="0.3">
      <c r="A394" s="23" t="s">
        <v>93</v>
      </c>
      <c r="B394" s="23" t="s">
        <v>152</v>
      </c>
      <c r="C394" s="23">
        <v>8265</v>
      </c>
    </row>
    <row r="395" spans="1:3" ht="15.6" x14ac:dyDescent="0.3">
      <c r="A395" s="23" t="s">
        <v>93</v>
      </c>
      <c r="B395" s="23" t="s">
        <v>128</v>
      </c>
      <c r="C395" s="23">
        <v>8364</v>
      </c>
    </row>
    <row r="396" spans="1:3" ht="15.6" x14ac:dyDescent="0.3">
      <c r="A396" s="23" t="s">
        <v>157</v>
      </c>
      <c r="B396" s="23" t="s">
        <v>150</v>
      </c>
      <c r="C396" s="23">
        <v>8376</v>
      </c>
    </row>
    <row r="397" spans="1:3" ht="15.6" x14ac:dyDescent="0.3">
      <c r="A397" s="23" t="s">
        <v>113</v>
      </c>
      <c r="B397" s="23" t="s">
        <v>128</v>
      </c>
      <c r="C397" s="23">
        <v>8380</v>
      </c>
    </row>
    <row r="398" spans="1:3" ht="15.6" x14ac:dyDescent="0.3">
      <c r="A398" s="23" t="s">
        <v>93</v>
      </c>
      <c r="B398" s="23" t="s">
        <v>152</v>
      </c>
      <c r="C398" s="23">
        <v>8443</v>
      </c>
    </row>
    <row r="399" spans="1:3" ht="15.6" x14ac:dyDescent="0.3">
      <c r="A399" s="23" t="s">
        <v>93</v>
      </c>
      <c r="B399" s="23" t="s">
        <v>152</v>
      </c>
      <c r="C399" s="23">
        <v>8502</v>
      </c>
    </row>
    <row r="400" spans="1:3" ht="15.6" x14ac:dyDescent="0.3">
      <c r="A400" s="23" t="s">
        <v>93</v>
      </c>
      <c r="B400" s="23" t="s">
        <v>128</v>
      </c>
      <c r="C400" s="23">
        <v>8530</v>
      </c>
    </row>
    <row r="401" spans="1:3" ht="15.6" x14ac:dyDescent="0.3">
      <c r="A401" s="23" t="s">
        <v>95</v>
      </c>
      <c r="B401" s="23" t="s">
        <v>128</v>
      </c>
      <c r="C401" s="23">
        <v>8533</v>
      </c>
    </row>
    <row r="402" spans="1:3" ht="15.6" x14ac:dyDescent="0.3">
      <c r="A402" s="23" t="s">
        <v>93</v>
      </c>
      <c r="B402" s="23" t="s">
        <v>128</v>
      </c>
      <c r="C402" s="23">
        <v>8535</v>
      </c>
    </row>
    <row r="403" spans="1:3" ht="15.6" x14ac:dyDescent="0.3">
      <c r="A403" s="23" t="s">
        <v>157</v>
      </c>
      <c r="B403" s="23" t="s">
        <v>128</v>
      </c>
      <c r="C403" s="23">
        <v>8550</v>
      </c>
    </row>
    <row r="404" spans="1:3" ht="15.6" x14ac:dyDescent="0.3">
      <c r="A404" s="23" t="s">
        <v>113</v>
      </c>
      <c r="B404" s="23" t="s">
        <v>152</v>
      </c>
      <c r="C404" s="23">
        <v>8588</v>
      </c>
    </row>
    <row r="405" spans="1:3" ht="15.6" x14ac:dyDescent="0.3">
      <c r="A405" s="23" t="s">
        <v>157</v>
      </c>
      <c r="B405" s="23" t="s">
        <v>150</v>
      </c>
      <c r="C405" s="23">
        <v>8599</v>
      </c>
    </row>
    <row r="406" spans="1:3" ht="15.6" x14ac:dyDescent="0.3">
      <c r="A406" s="23" t="s">
        <v>157</v>
      </c>
      <c r="B406" s="23" t="s">
        <v>128</v>
      </c>
      <c r="C406" s="23">
        <v>8641</v>
      </c>
    </row>
    <row r="407" spans="1:3" ht="15.6" x14ac:dyDescent="0.3">
      <c r="A407" s="23" t="s">
        <v>151</v>
      </c>
      <c r="B407" s="23" t="s">
        <v>152</v>
      </c>
      <c r="C407" s="23">
        <v>8653</v>
      </c>
    </row>
    <row r="408" spans="1:3" ht="15.6" x14ac:dyDescent="0.3">
      <c r="A408" s="23" t="s">
        <v>93</v>
      </c>
      <c r="B408" s="23" t="s">
        <v>152</v>
      </c>
      <c r="C408" s="23">
        <v>8809</v>
      </c>
    </row>
    <row r="409" spans="1:3" ht="15.6" x14ac:dyDescent="0.3">
      <c r="A409" s="23" t="s">
        <v>157</v>
      </c>
      <c r="B409" s="23" t="s">
        <v>128</v>
      </c>
      <c r="C409" s="23">
        <v>8834</v>
      </c>
    </row>
    <row r="410" spans="1:3" ht="15.6" x14ac:dyDescent="0.3">
      <c r="A410" s="23" t="s">
        <v>93</v>
      </c>
      <c r="B410" s="23" t="s">
        <v>152</v>
      </c>
      <c r="C410" s="23">
        <v>8841</v>
      </c>
    </row>
    <row r="411" spans="1:3" ht="15.6" x14ac:dyDescent="0.3">
      <c r="A411" s="23" t="s">
        <v>151</v>
      </c>
      <c r="B411" s="23" t="s">
        <v>150</v>
      </c>
      <c r="C411" s="23">
        <v>8937</v>
      </c>
    </row>
    <row r="412" spans="1:3" ht="15.6" x14ac:dyDescent="0.3">
      <c r="A412" s="23" t="s">
        <v>151</v>
      </c>
      <c r="B412" s="23" t="s">
        <v>128</v>
      </c>
      <c r="C412" s="23">
        <v>8967</v>
      </c>
    </row>
    <row r="413" spans="1:3" ht="15.6" x14ac:dyDescent="0.3">
      <c r="A413" s="23" t="s">
        <v>93</v>
      </c>
      <c r="B413" s="23" t="s">
        <v>150</v>
      </c>
      <c r="C413" s="23">
        <v>8969</v>
      </c>
    </row>
    <row r="414" spans="1:3" ht="15.6" x14ac:dyDescent="0.3">
      <c r="A414" s="23" t="s">
        <v>157</v>
      </c>
      <c r="B414" s="23" t="s">
        <v>150</v>
      </c>
      <c r="C414" s="23">
        <v>8979</v>
      </c>
    </row>
    <row r="415" spans="1:3" ht="15.6" x14ac:dyDescent="0.3">
      <c r="A415" s="23" t="s">
        <v>157</v>
      </c>
      <c r="B415" s="23" t="s">
        <v>152</v>
      </c>
      <c r="C415" s="23">
        <v>8997</v>
      </c>
    </row>
    <row r="416" spans="1:3" ht="15.6" x14ac:dyDescent="0.3">
      <c r="A416" s="23" t="s">
        <v>93</v>
      </c>
      <c r="B416" s="23" t="s">
        <v>152</v>
      </c>
      <c r="C416" s="23">
        <v>9013</v>
      </c>
    </row>
    <row r="417" spans="1:3" ht="15.6" x14ac:dyDescent="0.3">
      <c r="A417" s="23" t="s">
        <v>92</v>
      </c>
      <c r="B417" s="23" t="s">
        <v>112</v>
      </c>
      <c r="C417" s="23">
        <v>9019</v>
      </c>
    </row>
    <row r="418" spans="1:3" ht="15.6" x14ac:dyDescent="0.3">
      <c r="A418" s="23" t="s">
        <v>151</v>
      </c>
      <c r="B418" s="23" t="s">
        <v>150</v>
      </c>
      <c r="C418" s="23">
        <v>9036</v>
      </c>
    </row>
    <row r="419" spans="1:3" ht="15.6" x14ac:dyDescent="0.3">
      <c r="A419" s="23" t="s">
        <v>151</v>
      </c>
      <c r="B419" s="23" t="s">
        <v>128</v>
      </c>
      <c r="C419" s="23">
        <v>9059</v>
      </c>
    </row>
    <row r="420" spans="1:3" ht="15.6" x14ac:dyDescent="0.3">
      <c r="A420" s="23" t="s">
        <v>93</v>
      </c>
      <c r="B420" s="23" t="s">
        <v>112</v>
      </c>
      <c r="C420" s="23">
        <v>9080</v>
      </c>
    </row>
    <row r="421" spans="1:3" ht="15.6" x14ac:dyDescent="0.3">
      <c r="A421" s="23" t="s">
        <v>93</v>
      </c>
      <c r="B421" s="23" t="s">
        <v>128</v>
      </c>
      <c r="C421" s="23">
        <v>9093</v>
      </c>
    </row>
    <row r="422" spans="1:3" ht="15.6" x14ac:dyDescent="0.3">
      <c r="A422" s="23" t="s">
        <v>95</v>
      </c>
      <c r="B422" s="23" t="s">
        <v>112</v>
      </c>
      <c r="C422" s="23">
        <v>9093</v>
      </c>
    </row>
    <row r="423" spans="1:3" ht="15.6" x14ac:dyDescent="0.3">
      <c r="A423" s="23" t="s">
        <v>92</v>
      </c>
      <c r="B423" s="23" t="s">
        <v>150</v>
      </c>
      <c r="C423" s="23">
        <v>9095</v>
      </c>
    </row>
    <row r="424" spans="1:3" ht="15.6" x14ac:dyDescent="0.3">
      <c r="A424" s="23" t="s">
        <v>93</v>
      </c>
      <c r="B424" s="23" t="s">
        <v>112</v>
      </c>
      <c r="C424" s="23">
        <v>9099</v>
      </c>
    </row>
    <row r="425" spans="1:3" ht="15.6" x14ac:dyDescent="0.3">
      <c r="A425" s="23" t="s">
        <v>95</v>
      </c>
      <c r="B425" s="23" t="s">
        <v>112</v>
      </c>
      <c r="C425" s="23">
        <v>9125</v>
      </c>
    </row>
    <row r="426" spans="1:3" ht="15.6" x14ac:dyDescent="0.3">
      <c r="A426" s="23" t="s">
        <v>93</v>
      </c>
      <c r="B426" s="23" t="s">
        <v>112</v>
      </c>
      <c r="C426" s="23">
        <v>9170</v>
      </c>
    </row>
    <row r="427" spans="1:3" ht="15.6" x14ac:dyDescent="0.3">
      <c r="A427" s="23" t="s">
        <v>113</v>
      </c>
      <c r="B427" s="23" t="s">
        <v>150</v>
      </c>
      <c r="C427" s="23">
        <v>9182</v>
      </c>
    </row>
    <row r="428" spans="1:3" ht="15.6" x14ac:dyDescent="0.3">
      <c r="A428" s="23" t="s">
        <v>95</v>
      </c>
      <c r="B428" s="23" t="s">
        <v>112</v>
      </c>
      <c r="C428" s="23">
        <v>9186</v>
      </c>
    </row>
    <row r="429" spans="1:3" ht="15.6" x14ac:dyDescent="0.3">
      <c r="A429" s="23" t="s">
        <v>95</v>
      </c>
      <c r="B429" s="23" t="s">
        <v>152</v>
      </c>
      <c r="C429" s="23">
        <v>9187</v>
      </c>
    </row>
    <row r="430" spans="1:3" ht="15.6" x14ac:dyDescent="0.3">
      <c r="A430" s="23" t="s">
        <v>151</v>
      </c>
      <c r="B430" s="23" t="s">
        <v>128</v>
      </c>
      <c r="C430" s="23">
        <v>9204</v>
      </c>
    </row>
    <row r="431" spans="1:3" ht="15.6" x14ac:dyDescent="0.3">
      <c r="A431" s="23" t="s">
        <v>157</v>
      </c>
      <c r="B431" s="23" t="s">
        <v>128</v>
      </c>
      <c r="C431" s="23">
        <v>9205</v>
      </c>
    </row>
    <row r="432" spans="1:3" ht="15.6" x14ac:dyDescent="0.3">
      <c r="A432" s="23" t="s">
        <v>151</v>
      </c>
      <c r="B432" s="23" t="s">
        <v>150</v>
      </c>
      <c r="C432" s="23">
        <v>9216</v>
      </c>
    </row>
    <row r="433" spans="1:3" ht="15.6" x14ac:dyDescent="0.3">
      <c r="A433" s="23" t="s">
        <v>93</v>
      </c>
      <c r="B433" s="23" t="s">
        <v>152</v>
      </c>
      <c r="C433" s="23">
        <v>9293</v>
      </c>
    </row>
    <row r="434" spans="1:3" ht="15.6" x14ac:dyDescent="0.3">
      <c r="A434" s="23" t="s">
        <v>95</v>
      </c>
      <c r="B434" s="23" t="s">
        <v>128</v>
      </c>
      <c r="C434" s="23">
        <v>9300</v>
      </c>
    </row>
    <row r="435" spans="1:3" ht="15.6" x14ac:dyDescent="0.3">
      <c r="A435" s="23" t="s">
        <v>93</v>
      </c>
      <c r="B435" s="23" t="s">
        <v>128</v>
      </c>
      <c r="C435" s="23">
        <v>9303</v>
      </c>
    </row>
    <row r="436" spans="1:3" ht="15.6" x14ac:dyDescent="0.3">
      <c r="A436" s="23" t="s">
        <v>151</v>
      </c>
      <c r="B436" s="23" t="s">
        <v>128</v>
      </c>
      <c r="C436" s="23">
        <v>9424</v>
      </c>
    </row>
    <row r="437" spans="1:3" ht="15.6" x14ac:dyDescent="0.3">
      <c r="A437" s="23" t="s">
        <v>113</v>
      </c>
      <c r="B437" s="23" t="s">
        <v>150</v>
      </c>
      <c r="C437" s="23">
        <v>9459</v>
      </c>
    </row>
    <row r="438" spans="1:3" ht="15.6" x14ac:dyDescent="0.3">
      <c r="A438" s="23" t="s">
        <v>95</v>
      </c>
      <c r="B438" s="23" t="s">
        <v>128</v>
      </c>
      <c r="C438" s="23">
        <v>9471</v>
      </c>
    </row>
    <row r="439" spans="1:3" ht="15.6" x14ac:dyDescent="0.3">
      <c r="A439" s="23" t="s">
        <v>157</v>
      </c>
      <c r="B439" s="23" t="s">
        <v>152</v>
      </c>
      <c r="C439" s="23">
        <v>9592</v>
      </c>
    </row>
    <row r="440" spans="1:3" ht="15.6" x14ac:dyDescent="0.3">
      <c r="A440" s="23" t="s">
        <v>151</v>
      </c>
      <c r="B440" s="23" t="s">
        <v>150</v>
      </c>
      <c r="C440" s="23">
        <v>9612</v>
      </c>
    </row>
    <row r="441" spans="1:3" ht="15.6" x14ac:dyDescent="0.3">
      <c r="A441" s="23" t="s">
        <v>157</v>
      </c>
      <c r="B441" s="23" t="s">
        <v>150</v>
      </c>
      <c r="C441" s="23">
        <v>9671</v>
      </c>
    </row>
    <row r="442" spans="1:3" ht="15.6" x14ac:dyDescent="0.3">
      <c r="A442" s="23" t="s">
        <v>151</v>
      </c>
      <c r="B442" s="23" t="s">
        <v>150</v>
      </c>
      <c r="C442" s="23">
        <v>9694</v>
      </c>
    </row>
    <row r="443" spans="1:3" ht="15.6" x14ac:dyDescent="0.3">
      <c r="A443" s="23" t="s">
        <v>93</v>
      </c>
      <c r="B443" s="23" t="s">
        <v>150</v>
      </c>
      <c r="C443" s="23">
        <v>9715</v>
      </c>
    </row>
    <row r="444" spans="1:3" ht="15.6" x14ac:dyDescent="0.3">
      <c r="A444" s="23" t="s">
        <v>151</v>
      </c>
      <c r="B444" s="23" t="s">
        <v>128</v>
      </c>
      <c r="C444" s="23">
        <v>9729</v>
      </c>
    </row>
    <row r="445" spans="1:3" ht="15.6" x14ac:dyDescent="0.3">
      <c r="A445" s="23" t="s">
        <v>93</v>
      </c>
      <c r="B445" s="23" t="s">
        <v>150</v>
      </c>
      <c r="C445" s="23">
        <v>9794</v>
      </c>
    </row>
    <row r="446" spans="1:3" ht="15.6" x14ac:dyDescent="0.3">
      <c r="A446" s="23" t="s">
        <v>93</v>
      </c>
      <c r="B446" s="23" t="s">
        <v>150</v>
      </c>
      <c r="C446" s="23">
        <v>9865</v>
      </c>
    </row>
    <row r="447" spans="1:3" ht="15.6" x14ac:dyDescent="0.3">
      <c r="A447" s="23" t="s">
        <v>157</v>
      </c>
      <c r="B447" s="23" t="s">
        <v>150</v>
      </c>
      <c r="C447" s="23">
        <v>9940</v>
      </c>
    </row>
    <row r="448" spans="1:3" ht="15.6" x14ac:dyDescent="0.3">
      <c r="A448" s="23" t="s">
        <v>113</v>
      </c>
      <c r="B448" s="23" t="s">
        <v>128</v>
      </c>
      <c r="C448" s="23">
        <v>9974</v>
      </c>
    </row>
    <row r="449" spans="1:3" ht="15.6" x14ac:dyDescent="0.3">
      <c r="A449" s="23" t="s">
        <v>93</v>
      </c>
      <c r="B449" s="23" t="s">
        <v>152</v>
      </c>
      <c r="C449" s="23">
        <v>9975</v>
      </c>
    </row>
    <row r="450" spans="1:3" ht="15.6" x14ac:dyDescent="0.3">
      <c r="A450" s="23" t="s">
        <v>157</v>
      </c>
      <c r="B450" s="23" t="s">
        <v>128</v>
      </c>
      <c r="C450" s="23">
        <v>10032</v>
      </c>
    </row>
    <row r="451" spans="1:3" ht="15.6" x14ac:dyDescent="0.3">
      <c r="A451" s="23" t="s">
        <v>93</v>
      </c>
      <c r="B451" s="23" t="s">
        <v>112</v>
      </c>
      <c r="C451" s="23">
        <v>10053</v>
      </c>
    </row>
    <row r="452" spans="1:3" ht="15.6" x14ac:dyDescent="0.3">
      <c r="A452" s="23" t="s">
        <v>93</v>
      </c>
      <c r="B452" s="23" t="s">
        <v>128</v>
      </c>
      <c r="C452" s="23">
        <v>10056</v>
      </c>
    </row>
    <row r="453" spans="1:3" ht="15.6" x14ac:dyDescent="0.3">
      <c r="A453" s="23" t="s">
        <v>93</v>
      </c>
      <c r="B453" s="23" t="s">
        <v>112</v>
      </c>
      <c r="C453" s="23">
        <v>10068</v>
      </c>
    </row>
    <row r="454" spans="1:3" ht="15.6" x14ac:dyDescent="0.3">
      <c r="A454" s="23" t="s">
        <v>151</v>
      </c>
      <c r="B454" s="23" t="s">
        <v>112</v>
      </c>
      <c r="C454" s="23">
        <v>10084</v>
      </c>
    </row>
    <row r="455" spans="1:3" ht="15.6" x14ac:dyDescent="0.3">
      <c r="A455" s="23" t="s">
        <v>93</v>
      </c>
      <c r="B455" s="23" t="s">
        <v>112</v>
      </c>
      <c r="C455" s="23">
        <v>10090</v>
      </c>
    </row>
    <row r="456" spans="1:3" ht="15.6" x14ac:dyDescent="0.3">
      <c r="A456" s="23" t="s">
        <v>93</v>
      </c>
      <c r="B456" s="23" t="s">
        <v>128</v>
      </c>
      <c r="C456" s="23">
        <v>10098</v>
      </c>
    </row>
    <row r="457" spans="1:3" ht="15.6" x14ac:dyDescent="0.3">
      <c r="A457" s="23" t="s">
        <v>93</v>
      </c>
      <c r="B457" s="23" t="s">
        <v>150</v>
      </c>
      <c r="C457" s="23">
        <v>10119</v>
      </c>
    </row>
    <row r="458" spans="1:3" ht="15.6" x14ac:dyDescent="0.3">
      <c r="A458" s="23" t="s">
        <v>113</v>
      </c>
      <c r="B458" s="23" t="s">
        <v>152</v>
      </c>
      <c r="C458" s="23">
        <v>10123</v>
      </c>
    </row>
    <row r="459" spans="1:3" ht="15.6" x14ac:dyDescent="0.3">
      <c r="A459" s="23" t="s">
        <v>113</v>
      </c>
      <c r="B459" s="23" t="s">
        <v>152</v>
      </c>
      <c r="C459" s="23">
        <v>10140</v>
      </c>
    </row>
    <row r="460" spans="1:3" ht="15.6" x14ac:dyDescent="0.3">
      <c r="A460" s="23" t="s">
        <v>157</v>
      </c>
      <c r="B460" s="23" t="s">
        <v>150</v>
      </c>
      <c r="C460" s="23">
        <v>10159</v>
      </c>
    </row>
    <row r="461" spans="1:3" ht="15.6" x14ac:dyDescent="0.3">
      <c r="A461" s="23" t="s">
        <v>157</v>
      </c>
      <c r="B461" s="23" t="s">
        <v>150</v>
      </c>
      <c r="C461" s="23">
        <v>10160</v>
      </c>
    </row>
    <row r="462" spans="1:3" ht="15.6" x14ac:dyDescent="0.3">
      <c r="A462" s="23" t="s">
        <v>113</v>
      </c>
      <c r="B462" s="23" t="s">
        <v>152</v>
      </c>
      <c r="C462" s="23">
        <v>10175</v>
      </c>
    </row>
    <row r="463" spans="1:3" ht="15.6" x14ac:dyDescent="0.3">
      <c r="A463" s="23" t="s">
        <v>93</v>
      </c>
      <c r="B463" s="23" t="s">
        <v>152</v>
      </c>
      <c r="C463" s="23">
        <v>10179</v>
      </c>
    </row>
    <row r="464" spans="1:3" ht="15.6" x14ac:dyDescent="0.3">
      <c r="A464" s="23" t="s">
        <v>151</v>
      </c>
      <c r="B464" s="23" t="s">
        <v>128</v>
      </c>
      <c r="C464" s="23">
        <v>10201</v>
      </c>
    </row>
    <row r="465" spans="1:3" ht="15.6" x14ac:dyDescent="0.3">
      <c r="A465" s="23" t="s">
        <v>93</v>
      </c>
      <c r="B465" s="23" t="s">
        <v>152</v>
      </c>
      <c r="C465" s="23">
        <v>10202</v>
      </c>
    </row>
    <row r="466" spans="1:3" ht="15.6" x14ac:dyDescent="0.3">
      <c r="A466" s="23" t="s">
        <v>113</v>
      </c>
      <c r="B466" s="23" t="s">
        <v>128</v>
      </c>
      <c r="C466" s="23">
        <v>10216</v>
      </c>
    </row>
    <row r="467" spans="1:3" ht="15.6" x14ac:dyDescent="0.3">
      <c r="A467" s="23" t="s">
        <v>92</v>
      </c>
      <c r="B467" s="23" t="s">
        <v>150</v>
      </c>
      <c r="C467" s="23">
        <v>10225</v>
      </c>
    </row>
    <row r="468" spans="1:3" ht="15.6" x14ac:dyDescent="0.3">
      <c r="A468" s="23" t="s">
        <v>113</v>
      </c>
      <c r="B468" s="23" t="s">
        <v>128</v>
      </c>
      <c r="C468" s="23">
        <v>10225</v>
      </c>
    </row>
    <row r="469" spans="1:3" ht="15.6" x14ac:dyDescent="0.3">
      <c r="A469" s="23" t="s">
        <v>157</v>
      </c>
      <c r="B469" s="23" t="s">
        <v>152</v>
      </c>
      <c r="C469" s="23">
        <v>10233</v>
      </c>
    </row>
    <row r="470" spans="1:3" ht="15.6" x14ac:dyDescent="0.3">
      <c r="A470" s="23" t="s">
        <v>113</v>
      </c>
      <c r="B470" s="23" t="s">
        <v>152</v>
      </c>
      <c r="C470" s="23">
        <v>10238</v>
      </c>
    </row>
    <row r="471" spans="1:3" ht="15.6" x14ac:dyDescent="0.3">
      <c r="A471" s="23" t="s">
        <v>93</v>
      </c>
      <c r="B471" s="23" t="s">
        <v>150</v>
      </c>
      <c r="C471" s="23">
        <v>10261</v>
      </c>
    </row>
    <row r="472" spans="1:3" ht="15.6" x14ac:dyDescent="0.3">
      <c r="A472" s="23" t="s">
        <v>93</v>
      </c>
      <c r="B472" s="23" t="s">
        <v>150</v>
      </c>
      <c r="C472" s="23">
        <v>10354</v>
      </c>
    </row>
    <row r="473" spans="1:3" ht="15.6" x14ac:dyDescent="0.3">
      <c r="A473" s="23" t="s">
        <v>113</v>
      </c>
      <c r="B473" s="23" t="s">
        <v>152</v>
      </c>
      <c r="C473" s="23">
        <v>10356</v>
      </c>
    </row>
    <row r="474" spans="1:3" ht="15.6" x14ac:dyDescent="0.3">
      <c r="A474" s="23" t="s">
        <v>157</v>
      </c>
      <c r="B474" s="23" t="s">
        <v>128</v>
      </c>
      <c r="C474" s="23">
        <v>10360</v>
      </c>
    </row>
    <row r="475" spans="1:3" ht="15.6" x14ac:dyDescent="0.3">
      <c r="A475" s="23" t="s">
        <v>93</v>
      </c>
      <c r="B475" s="23" t="s">
        <v>150</v>
      </c>
      <c r="C475" s="23">
        <v>10362</v>
      </c>
    </row>
    <row r="476" spans="1:3" ht="15.6" x14ac:dyDescent="0.3">
      <c r="A476" s="23" t="s">
        <v>93</v>
      </c>
      <c r="B476" s="23" t="s">
        <v>150</v>
      </c>
      <c r="C476" s="23">
        <v>10367</v>
      </c>
    </row>
    <row r="477" spans="1:3" ht="15.6" x14ac:dyDescent="0.3">
      <c r="A477" s="23" t="s">
        <v>113</v>
      </c>
      <c r="B477" s="23" t="s">
        <v>150</v>
      </c>
      <c r="C477" s="23">
        <v>10375</v>
      </c>
    </row>
    <row r="478" spans="1:3" ht="15.6" x14ac:dyDescent="0.3">
      <c r="A478" s="23" t="s">
        <v>151</v>
      </c>
      <c r="B478" s="23" t="s">
        <v>128</v>
      </c>
      <c r="C478" s="23">
        <v>10417</v>
      </c>
    </row>
    <row r="479" spans="1:3" ht="15.6" x14ac:dyDescent="0.3">
      <c r="A479" s="23" t="s">
        <v>92</v>
      </c>
      <c r="B479" s="23" t="s">
        <v>150</v>
      </c>
      <c r="C479" s="23">
        <v>10431</v>
      </c>
    </row>
    <row r="480" spans="1:3" ht="15.6" x14ac:dyDescent="0.3">
      <c r="A480" s="23" t="s">
        <v>93</v>
      </c>
      <c r="B480" s="23" t="s">
        <v>128</v>
      </c>
      <c r="C480" s="23">
        <v>10436</v>
      </c>
    </row>
    <row r="481" spans="1:3" ht="15.6" x14ac:dyDescent="0.3">
      <c r="A481" s="23" t="s">
        <v>95</v>
      </c>
      <c r="B481" s="23" t="s">
        <v>152</v>
      </c>
      <c r="C481" s="23">
        <v>10454</v>
      </c>
    </row>
    <row r="482" spans="1:3" ht="15.6" x14ac:dyDescent="0.3">
      <c r="A482" s="23" t="s">
        <v>157</v>
      </c>
      <c r="B482" s="23" t="s">
        <v>128</v>
      </c>
      <c r="C482" s="23">
        <v>10522</v>
      </c>
    </row>
    <row r="483" spans="1:3" ht="15.6" x14ac:dyDescent="0.3">
      <c r="A483" s="23" t="s">
        <v>93</v>
      </c>
      <c r="B483" s="23" t="s">
        <v>128</v>
      </c>
      <c r="C483" s="23">
        <v>10526</v>
      </c>
    </row>
    <row r="484" spans="1:3" ht="15.6" x14ac:dyDescent="0.3">
      <c r="A484" s="23" t="s">
        <v>151</v>
      </c>
      <c r="B484" s="23" t="s">
        <v>152</v>
      </c>
      <c r="C484" s="23">
        <v>10527</v>
      </c>
    </row>
    <row r="485" spans="1:3" ht="15.6" x14ac:dyDescent="0.3">
      <c r="A485" s="23" t="s">
        <v>113</v>
      </c>
      <c r="B485" s="23" t="s">
        <v>150</v>
      </c>
      <c r="C485" s="23">
        <v>10555</v>
      </c>
    </row>
    <row r="486" spans="1:3" ht="15.6" x14ac:dyDescent="0.3">
      <c r="A486" s="23" t="s">
        <v>93</v>
      </c>
      <c r="B486" s="23" t="s">
        <v>150</v>
      </c>
      <c r="C486" s="23">
        <v>10599</v>
      </c>
    </row>
    <row r="487" spans="1:3" ht="15.6" x14ac:dyDescent="0.3">
      <c r="A487" s="23" t="s">
        <v>113</v>
      </c>
      <c r="B487" s="23" t="s">
        <v>152</v>
      </c>
      <c r="C487" s="23">
        <v>10633</v>
      </c>
    </row>
    <row r="488" spans="1:3" ht="15.6" x14ac:dyDescent="0.3">
      <c r="A488" s="23" t="s">
        <v>113</v>
      </c>
      <c r="B488" s="23" t="s">
        <v>152</v>
      </c>
      <c r="C488" s="23">
        <v>10687</v>
      </c>
    </row>
    <row r="489" spans="1:3" ht="15.6" x14ac:dyDescent="0.3">
      <c r="A489" s="23" t="s">
        <v>157</v>
      </c>
      <c r="B489" s="23" t="s">
        <v>128</v>
      </c>
      <c r="C489" s="23">
        <v>10826</v>
      </c>
    </row>
    <row r="490" spans="1:3" ht="15.6" x14ac:dyDescent="0.3">
      <c r="A490" s="23" t="s">
        <v>92</v>
      </c>
      <c r="B490" s="23" t="s">
        <v>128</v>
      </c>
      <c r="C490" s="23">
        <v>10851</v>
      </c>
    </row>
    <row r="491" spans="1:3" ht="15.6" x14ac:dyDescent="0.3">
      <c r="A491" s="23" t="s">
        <v>113</v>
      </c>
      <c r="B491" s="23" t="s">
        <v>128</v>
      </c>
      <c r="C491" s="23">
        <v>10858</v>
      </c>
    </row>
    <row r="492" spans="1:3" ht="15.6" x14ac:dyDescent="0.3">
      <c r="A492" s="23" t="s">
        <v>93</v>
      </c>
      <c r="B492" s="23" t="s">
        <v>152</v>
      </c>
      <c r="C492" s="23">
        <v>10904</v>
      </c>
    </row>
    <row r="493" spans="1:3" ht="15.6" x14ac:dyDescent="0.3">
      <c r="A493" s="23" t="s">
        <v>157</v>
      </c>
      <c r="B493" s="23" t="s">
        <v>150</v>
      </c>
      <c r="C493" s="23">
        <v>10980</v>
      </c>
    </row>
    <row r="494" spans="1:3" ht="15.6" x14ac:dyDescent="0.3">
      <c r="A494" s="23" t="s">
        <v>157</v>
      </c>
      <c r="B494" s="23" t="s">
        <v>128</v>
      </c>
      <c r="C494" s="23">
        <v>11007</v>
      </c>
    </row>
    <row r="495" spans="1:3" ht="15.6" x14ac:dyDescent="0.3">
      <c r="A495" s="23" t="s">
        <v>95</v>
      </c>
      <c r="B495" s="23" t="s">
        <v>128</v>
      </c>
      <c r="C495" s="23">
        <v>11017</v>
      </c>
    </row>
    <row r="496" spans="1:3" ht="15.6" x14ac:dyDescent="0.3">
      <c r="A496" s="23" t="s">
        <v>157</v>
      </c>
      <c r="B496" s="23" t="s">
        <v>128</v>
      </c>
      <c r="C496" s="23">
        <v>11023</v>
      </c>
    </row>
    <row r="497" spans="1:3" ht="15.6" x14ac:dyDescent="0.3">
      <c r="A497" s="23" t="s">
        <v>113</v>
      </c>
      <c r="B497" s="23" t="s">
        <v>128</v>
      </c>
      <c r="C497" s="23">
        <v>11206</v>
      </c>
    </row>
    <row r="498" spans="1:3" ht="15.6" x14ac:dyDescent="0.3">
      <c r="A498" s="23" t="s">
        <v>94</v>
      </c>
      <c r="B498" s="23" t="s">
        <v>128</v>
      </c>
      <c r="C498" s="23">
        <v>11220</v>
      </c>
    </row>
    <row r="499" spans="1:3" ht="15.6" x14ac:dyDescent="0.3">
      <c r="A499" s="23" t="s">
        <v>95</v>
      </c>
      <c r="B499" s="23" t="s">
        <v>152</v>
      </c>
      <c r="C499" s="23">
        <v>11229</v>
      </c>
    </row>
    <row r="500" spans="1:3" ht="15.6" x14ac:dyDescent="0.3">
      <c r="A500" s="23" t="s">
        <v>113</v>
      </c>
      <c r="B500" s="23" t="s">
        <v>150</v>
      </c>
      <c r="C500" s="23">
        <v>11234</v>
      </c>
    </row>
    <row r="501" spans="1:3" ht="15.6" x14ac:dyDescent="0.3">
      <c r="A501" s="23" t="s">
        <v>151</v>
      </c>
      <c r="B501" s="23" t="s">
        <v>152</v>
      </c>
      <c r="C501" s="23">
        <v>11254</v>
      </c>
    </row>
    <row r="502" spans="1:3" ht="15.6" x14ac:dyDescent="0.3">
      <c r="A502" s="23" t="s">
        <v>95</v>
      </c>
      <c r="B502" s="23" t="s">
        <v>152</v>
      </c>
      <c r="C502" s="23">
        <v>11426</v>
      </c>
    </row>
    <row r="503" spans="1:3" ht="15.6" x14ac:dyDescent="0.3">
      <c r="A503" s="23" t="s">
        <v>95</v>
      </c>
      <c r="B503" s="23" t="s">
        <v>150</v>
      </c>
      <c r="C503" s="23">
        <v>11447</v>
      </c>
    </row>
    <row r="504" spans="1:3" ht="15.6" x14ac:dyDescent="0.3">
      <c r="A504" s="23" t="s">
        <v>93</v>
      </c>
      <c r="B504" s="23" t="s">
        <v>150</v>
      </c>
      <c r="C504" s="23">
        <v>11465</v>
      </c>
    </row>
    <row r="505" spans="1:3" ht="15.6" x14ac:dyDescent="0.3">
      <c r="A505" s="23" t="s">
        <v>94</v>
      </c>
      <c r="B505" s="23" t="s">
        <v>128</v>
      </c>
      <c r="C505" s="23">
        <v>11561</v>
      </c>
    </row>
    <row r="506" spans="1:3" ht="15.6" x14ac:dyDescent="0.3">
      <c r="A506" s="23" t="s">
        <v>95</v>
      </c>
      <c r="B506" s="23" t="s">
        <v>150</v>
      </c>
      <c r="C506" s="23">
        <v>11585</v>
      </c>
    </row>
    <row r="507" spans="1:3" ht="15.6" x14ac:dyDescent="0.3">
      <c r="A507" s="23" t="s">
        <v>93</v>
      </c>
      <c r="B507" s="23" t="s">
        <v>128</v>
      </c>
      <c r="C507" s="23">
        <v>11595</v>
      </c>
    </row>
    <row r="508" spans="1:3" ht="15.6" x14ac:dyDescent="0.3">
      <c r="A508" s="23" t="s">
        <v>157</v>
      </c>
      <c r="B508" s="23" t="s">
        <v>128</v>
      </c>
      <c r="C508" s="23">
        <v>11610</v>
      </c>
    </row>
    <row r="509" spans="1:3" ht="15.6" x14ac:dyDescent="0.3">
      <c r="A509" s="23" t="s">
        <v>92</v>
      </c>
      <c r="B509" s="23" t="s">
        <v>128</v>
      </c>
      <c r="C509" s="23">
        <v>11685</v>
      </c>
    </row>
    <row r="510" spans="1:3" ht="15.6" x14ac:dyDescent="0.3">
      <c r="A510" s="23" t="s">
        <v>151</v>
      </c>
      <c r="B510" s="23" t="s">
        <v>150</v>
      </c>
      <c r="C510" s="23">
        <v>11716</v>
      </c>
    </row>
    <row r="511" spans="1:3" ht="15.6" x14ac:dyDescent="0.3">
      <c r="A511" s="23" t="s">
        <v>94</v>
      </c>
      <c r="B511" s="23" t="s">
        <v>152</v>
      </c>
      <c r="C511" s="23">
        <v>11739</v>
      </c>
    </row>
    <row r="512" spans="1:3" ht="15.6" x14ac:dyDescent="0.3">
      <c r="A512" s="23" t="s">
        <v>95</v>
      </c>
      <c r="B512" s="23" t="s">
        <v>150</v>
      </c>
      <c r="C512" s="23">
        <v>11759</v>
      </c>
    </row>
    <row r="513" spans="1:3" ht="15.6" x14ac:dyDescent="0.3">
      <c r="A513" s="23" t="s">
        <v>93</v>
      </c>
      <c r="B513" s="23" t="s">
        <v>128</v>
      </c>
      <c r="C513" s="23">
        <v>11806</v>
      </c>
    </row>
    <row r="514" spans="1:3" ht="15.6" x14ac:dyDescent="0.3">
      <c r="A514" s="23" t="s">
        <v>95</v>
      </c>
      <c r="B514" s="23" t="s">
        <v>152</v>
      </c>
      <c r="C514" s="23">
        <v>11808</v>
      </c>
    </row>
    <row r="515" spans="1:3" ht="15.6" x14ac:dyDescent="0.3">
      <c r="A515" s="23" t="s">
        <v>113</v>
      </c>
      <c r="B515" s="23" t="s">
        <v>152</v>
      </c>
      <c r="C515" s="23">
        <v>11817</v>
      </c>
    </row>
    <row r="516" spans="1:3" ht="15.6" x14ac:dyDescent="0.3">
      <c r="A516" s="23" t="s">
        <v>95</v>
      </c>
      <c r="B516" s="23" t="s">
        <v>150</v>
      </c>
      <c r="C516" s="23">
        <v>11833</v>
      </c>
    </row>
    <row r="517" spans="1:3" ht="15.6" x14ac:dyDescent="0.3">
      <c r="A517" s="23" t="s">
        <v>93</v>
      </c>
      <c r="B517" s="23" t="s">
        <v>152</v>
      </c>
      <c r="C517" s="23">
        <v>11838</v>
      </c>
    </row>
    <row r="518" spans="1:3" ht="15.6" x14ac:dyDescent="0.3">
      <c r="A518" s="23" t="s">
        <v>93</v>
      </c>
      <c r="B518" s="23" t="s">
        <v>128</v>
      </c>
      <c r="C518" s="23">
        <v>11875</v>
      </c>
    </row>
    <row r="519" spans="1:3" ht="15.6" x14ac:dyDescent="0.3">
      <c r="A519" s="23" t="s">
        <v>95</v>
      </c>
      <c r="B519" s="23" t="s">
        <v>128</v>
      </c>
      <c r="C519" s="23">
        <v>11891</v>
      </c>
    </row>
    <row r="520" spans="1:3" ht="15.6" x14ac:dyDescent="0.3">
      <c r="A520" s="23" t="s">
        <v>151</v>
      </c>
      <c r="B520" s="23" t="s">
        <v>128</v>
      </c>
      <c r="C520" s="23">
        <v>11965</v>
      </c>
    </row>
    <row r="521" spans="1:3" ht="15.6" x14ac:dyDescent="0.3">
      <c r="A521" s="23" t="s">
        <v>151</v>
      </c>
      <c r="B521" s="23" t="s">
        <v>128</v>
      </c>
      <c r="C521" s="23">
        <v>11966</v>
      </c>
    </row>
    <row r="522" spans="1:3" ht="15.6" x14ac:dyDescent="0.3">
      <c r="A522" s="23" t="s">
        <v>93</v>
      </c>
      <c r="B522" s="23" t="s">
        <v>152</v>
      </c>
      <c r="C522" s="23">
        <v>11977</v>
      </c>
    </row>
    <row r="523" spans="1:3" ht="15.6" x14ac:dyDescent="0.3">
      <c r="A523" s="23" t="s">
        <v>151</v>
      </c>
      <c r="B523" s="23" t="s">
        <v>128</v>
      </c>
      <c r="C523" s="23">
        <v>11997</v>
      </c>
    </row>
    <row r="524" spans="1:3" ht="15.6" x14ac:dyDescent="0.3">
      <c r="A524" s="23" t="s">
        <v>95</v>
      </c>
      <c r="B524" s="23" t="s">
        <v>128</v>
      </c>
      <c r="C524" s="23">
        <v>12008</v>
      </c>
    </row>
    <row r="525" spans="1:3" ht="15.6" x14ac:dyDescent="0.3">
      <c r="A525" s="23" t="s">
        <v>93</v>
      </c>
      <c r="B525" s="23" t="s">
        <v>128</v>
      </c>
      <c r="C525" s="23">
        <v>12017</v>
      </c>
    </row>
    <row r="526" spans="1:3" ht="15.6" x14ac:dyDescent="0.3">
      <c r="A526" s="23" t="s">
        <v>113</v>
      </c>
      <c r="B526" s="23" t="s">
        <v>128</v>
      </c>
      <c r="C526" s="23">
        <v>12017</v>
      </c>
    </row>
    <row r="527" spans="1:3" ht="15.6" x14ac:dyDescent="0.3">
      <c r="A527" s="23" t="s">
        <v>113</v>
      </c>
      <c r="B527" s="23" t="s">
        <v>128</v>
      </c>
      <c r="C527" s="23">
        <v>12018</v>
      </c>
    </row>
    <row r="528" spans="1:3" ht="15.6" x14ac:dyDescent="0.3">
      <c r="A528" s="23" t="s">
        <v>157</v>
      </c>
      <c r="B528" s="23" t="s">
        <v>152</v>
      </c>
      <c r="C528" s="23">
        <v>12020</v>
      </c>
    </row>
    <row r="529" spans="1:3" ht="15.6" x14ac:dyDescent="0.3">
      <c r="A529" s="23" t="s">
        <v>93</v>
      </c>
      <c r="B529" s="23" t="s">
        <v>150</v>
      </c>
      <c r="C529" s="23">
        <v>12028</v>
      </c>
    </row>
    <row r="530" spans="1:3" ht="15.6" x14ac:dyDescent="0.3">
      <c r="A530" s="23" t="s">
        <v>93</v>
      </c>
      <c r="B530" s="23" t="s">
        <v>128</v>
      </c>
      <c r="C530" s="23">
        <v>12039</v>
      </c>
    </row>
    <row r="531" spans="1:3" ht="15.6" x14ac:dyDescent="0.3">
      <c r="A531" s="23" t="s">
        <v>93</v>
      </c>
      <c r="B531" s="23" t="s">
        <v>150</v>
      </c>
      <c r="C531" s="23">
        <v>12045</v>
      </c>
    </row>
    <row r="532" spans="1:3" ht="15.6" x14ac:dyDescent="0.3">
      <c r="A532" s="23" t="s">
        <v>113</v>
      </c>
      <c r="B532" s="23" t="s">
        <v>128</v>
      </c>
      <c r="C532" s="23">
        <v>12047</v>
      </c>
    </row>
    <row r="533" spans="1:3" ht="15.6" x14ac:dyDescent="0.3">
      <c r="A533" s="23" t="s">
        <v>95</v>
      </c>
      <c r="B533" s="23" t="s">
        <v>128</v>
      </c>
      <c r="C533" s="23">
        <v>12057</v>
      </c>
    </row>
    <row r="534" spans="1:3" ht="15.6" x14ac:dyDescent="0.3">
      <c r="A534" s="23" t="s">
        <v>113</v>
      </c>
      <c r="B534" s="23" t="s">
        <v>128</v>
      </c>
      <c r="C534" s="23">
        <v>12064</v>
      </c>
    </row>
    <row r="535" spans="1:3" ht="15.6" x14ac:dyDescent="0.3">
      <c r="A535" s="23" t="s">
        <v>113</v>
      </c>
      <c r="B535" s="23" t="s">
        <v>128</v>
      </c>
      <c r="C535" s="23">
        <v>12073</v>
      </c>
    </row>
    <row r="536" spans="1:3" ht="15.6" x14ac:dyDescent="0.3">
      <c r="A536" s="23" t="s">
        <v>151</v>
      </c>
      <c r="B536" s="23" t="s">
        <v>150</v>
      </c>
      <c r="C536" s="23">
        <v>12081</v>
      </c>
    </row>
    <row r="537" spans="1:3" ht="15.6" x14ac:dyDescent="0.3">
      <c r="A537" s="23" t="s">
        <v>153</v>
      </c>
      <c r="B537" s="23" t="s">
        <v>152</v>
      </c>
      <c r="C537" s="23">
        <v>12091</v>
      </c>
    </row>
    <row r="538" spans="1:3" ht="15.6" x14ac:dyDescent="0.3">
      <c r="A538" s="23" t="s">
        <v>157</v>
      </c>
      <c r="B538" s="23" t="s">
        <v>150</v>
      </c>
      <c r="C538" s="23">
        <v>12094</v>
      </c>
    </row>
    <row r="539" spans="1:3" ht="15.6" x14ac:dyDescent="0.3">
      <c r="A539" s="23" t="s">
        <v>93</v>
      </c>
      <c r="B539" s="23" t="s">
        <v>128</v>
      </c>
      <c r="C539" s="23">
        <v>12095</v>
      </c>
    </row>
    <row r="540" spans="1:3" ht="15.6" x14ac:dyDescent="0.3">
      <c r="A540" s="23" t="s">
        <v>93</v>
      </c>
      <c r="B540" s="23" t="s">
        <v>128</v>
      </c>
      <c r="C540" s="23">
        <v>12098</v>
      </c>
    </row>
    <row r="541" spans="1:3" ht="15.6" x14ac:dyDescent="0.3">
      <c r="A541" s="23" t="s">
        <v>151</v>
      </c>
      <c r="B541" s="23" t="s">
        <v>128</v>
      </c>
      <c r="C541" s="23">
        <v>12185</v>
      </c>
    </row>
    <row r="542" spans="1:3" ht="15.6" x14ac:dyDescent="0.3">
      <c r="A542" s="23" t="s">
        <v>157</v>
      </c>
      <c r="B542" s="23" t="s">
        <v>128</v>
      </c>
      <c r="C542" s="23">
        <v>12195</v>
      </c>
    </row>
    <row r="543" spans="1:3" ht="15.6" x14ac:dyDescent="0.3">
      <c r="A543" s="23" t="s">
        <v>113</v>
      </c>
      <c r="B543" s="23" t="s">
        <v>150</v>
      </c>
      <c r="C543" s="23">
        <v>12204</v>
      </c>
    </row>
    <row r="544" spans="1:3" ht="15.6" x14ac:dyDescent="0.3">
      <c r="A544" s="23" t="s">
        <v>93</v>
      </c>
      <c r="B544" s="23" t="s">
        <v>150</v>
      </c>
      <c r="C544" s="23">
        <v>12215</v>
      </c>
    </row>
    <row r="545" spans="1:3" ht="15.6" x14ac:dyDescent="0.3">
      <c r="A545" s="23" t="s">
        <v>151</v>
      </c>
      <c r="B545" s="23" t="s">
        <v>152</v>
      </c>
      <c r="C545" s="23">
        <v>12257</v>
      </c>
    </row>
    <row r="546" spans="1:3" ht="15.6" x14ac:dyDescent="0.3">
      <c r="A546" s="23" t="s">
        <v>93</v>
      </c>
      <c r="B546" s="23" t="s">
        <v>128</v>
      </c>
      <c r="C546" s="23">
        <v>12266</v>
      </c>
    </row>
    <row r="547" spans="1:3" ht="15.6" x14ac:dyDescent="0.3">
      <c r="A547" s="23" t="s">
        <v>95</v>
      </c>
      <c r="B547" s="23" t="s">
        <v>128</v>
      </c>
      <c r="C547" s="23">
        <v>12306</v>
      </c>
    </row>
    <row r="548" spans="1:3" ht="15.6" x14ac:dyDescent="0.3">
      <c r="A548" s="23" t="s">
        <v>157</v>
      </c>
      <c r="B548" s="23" t="s">
        <v>152</v>
      </c>
      <c r="C548" s="23">
        <v>12318</v>
      </c>
    </row>
    <row r="549" spans="1:3" ht="15.6" x14ac:dyDescent="0.3">
      <c r="A549" s="23" t="s">
        <v>151</v>
      </c>
      <c r="B549" s="23" t="s">
        <v>128</v>
      </c>
      <c r="C549" s="23">
        <v>12352</v>
      </c>
    </row>
    <row r="550" spans="1:3" ht="15.6" x14ac:dyDescent="0.3">
      <c r="A550" s="23" t="s">
        <v>93</v>
      </c>
      <c r="B550" s="23" t="s">
        <v>152</v>
      </c>
      <c r="C550" s="23">
        <v>12411</v>
      </c>
    </row>
    <row r="551" spans="1:3" ht="15.6" x14ac:dyDescent="0.3">
      <c r="A551" s="23" t="s">
        <v>151</v>
      </c>
      <c r="B551" s="23" t="s">
        <v>112</v>
      </c>
      <c r="C551" s="23">
        <v>12474</v>
      </c>
    </row>
    <row r="552" spans="1:3" ht="15.6" x14ac:dyDescent="0.3">
      <c r="A552" s="23" t="s">
        <v>93</v>
      </c>
      <c r="B552" s="23" t="s">
        <v>150</v>
      </c>
      <c r="C552" s="23">
        <v>12483</v>
      </c>
    </row>
    <row r="553" spans="1:3" ht="15.6" x14ac:dyDescent="0.3">
      <c r="A553" s="23" t="s">
        <v>95</v>
      </c>
      <c r="B553" s="23" t="s">
        <v>150</v>
      </c>
      <c r="C553" s="23">
        <v>12498</v>
      </c>
    </row>
    <row r="554" spans="1:3" ht="15.6" x14ac:dyDescent="0.3">
      <c r="A554" s="23" t="s">
        <v>151</v>
      </c>
      <c r="B554" s="23" t="s">
        <v>112</v>
      </c>
      <c r="C554" s="23">
        <v>12501</v>
      </c>
    </row>
    <row r="555" spans="1:3" ht="15.6" x14ac:dyDescent="0.3">
      <c r="A555" s="23" t="s">
        <v>93</v>
      </c>
      <c r="B555" s="23" t="s">
        <v>128</v>
      </c>
      <c r="C555" s="23">
        <v>12507</v>
      </c>
    </row>
    <row r="556" spans="1:3" ht="15.6" x14ac:dyDescent="0.3">
      <c r="A556" s="23" t="s">
        <v>113</v>
      </c>
      <c r="B556" s="23" t="s">
        <v>128</v>
      </c>
      <c r="C556" s="23">
        <v>12507</v>
      </c>
    </row>
    <row r="557" spans="1:3" ht="15.6" x14ac:dyDescent="0.3">
      <c r="A557" s="23" t="s">
        <v>151</v>
      </c>
      <c r="B557" s="23" t="s">
        <v>150</v>
      </c>
      <c r="C557" s="23">
        <v>12511</v>
      </c>
    </row>
    <row r="558" spans="1:3" ht="15.6" x14ac:dyDescent="0.3">
      <c r="A558" s="23" t="s">
        <v>93</v>
      </c>
      <c r="B558" s="23" t="s">
        <v>128</v>
      </c>
      <c r="C558" s="23">
        <v>12535</v>
      </c>
    </row>
    <row r="559" spans="1:3" ht="15.6" x14ac:dyDescent="0.3">
      <c r="A559" s="23" t="s">
        <v>113</v>
      </c>
      <c r="B559" s="23" t="s">
        <v>112</v>
      </c>
      <c r="C559" s="23">
        <v>12541</v>
      </c>
    </row>
    <row r="560" spans="1:3" ht="15.6" x14ac:dyDescent="0.3">
      <c r="A560" s="23" t="s">
        <v>93</v>
      </c>
      <c r="B560" s="23" t="s">
        <v>128</v>
      </c>
      <c r="C560" s="23">
        <v>12545</v>
      </c>
    </row>
    <row r="561" spans="1:3" ht="15.6" x14ac:dyDescent="0.3">
      <c r="A561" s="23" t="s">
        <v>113</v>
      </c>
      <c r="B561" s="23" t="s">
        <v>128</v>
      </c>
      <c r="C561" s="23">
        <v>12551</v>
      </c>
    </row>
    <row r="562" spans="1:3" ht="15.6" x14ac:dyDescent="0.3">
      <c r="A562" s="23" t="s">
        <v>151</v>
      </c>
      <c r="B562" s="23" t="s">
        <v>112</v>
      </c>
      <c r="C562" s="23">
        <v>12553</v>
      </c>
    </row>
    <row r="563" spans="1:3" ht="15.6" x14ac:dyDescent="0.3">
      <c r="A563" s="23" t="s">
        <v>113</v>
      </c>
      <c r="B563" s="23" t="s">
        <v>128</v>
      </c>
      <c r="C563" s="23">
        <v>12556</v>
      </c>
    </row>
    <row r="564" spans="1:3" ht="15.6" x14ac:dyDescent="0.3">
      <c r="A564" s="23" t="s">
        <v>93</v>
      </c>
      <c r="B564" s="23" t="s">
        <v>128</v>
      </c>
      <c r="C564" s="23">
        <v>12572</v>
      </c>
    </row>
    <row r="565" spans="1:3" ht="15.6" x14ac:dyDescent="0.3">
      <c r="A565" s="23" t="s">
        <v>93</v>
      </c>
      <c r="B565" s="23" t="s">
        <v>150</v>
      </c>
      <c r="C565" s="23">
        <v>12582</v>
      </c>
    </row>
    <row r="566" spans="1:3" ht="15.6" x14ac:dyDescent="0.3">
      <c r="A566" s="23" t="s">
        <v>95</v>
      </c>
      <c r="B566" s="23" t="s">
        <v>128</v>
      </c>
      <c r="C566" s="23">
        <v>12587</v>
      </c>
    </row>
    <row r="567" spans="1:3" ht="15.6" x14ac:dyDescent="0.3">
      <c r="A567" s="23" t="s">
        <v>93</v>
      </c>
      <c r="B567" s="23" t="s">
        <v>128</v>
      </c>
      <c r="C567" s="23">
        <v>12598</v>
      </c>
    </row>
    <row r="568" spans="1:3" ht="15.6" x14ac:dyDescent="0.3">
      <c r="A568" s="23" t="s">
        <v>95</v>
      </c>
      <c r="B568" s="23" t="s">
        <v>128</v>
      </c>
      <c r="C568" s="23">
        <v>12610</v>
      </c>
    </row>
    <row r="569" spans="1:3" ht="15.6" x14ac:dyDescent="0.3">
      <c r="A569" s="23" t="s">
        <v>113</v>
      </c>
      <c r="B569" s="23" t="s">
        <v>152</v>
      </c>
      <c r="C569" s="23">
        <v>12615</v>
      </c>
    </row>
    <row r="570" spans="1:3" ht="15.6" x14ac:dyDescent="0.3">
      <c r="A570" s="23" t="s">
        <v>157</v>
      </c>
      <c r="B570" s="23" t="s">
        <v>150</v>
      </c>
      <c r="C570" s="23">
        <v>12677</v>
      </c>
    </row>
    <row r="571" spans="1:3" ht="15.6" x14ac:dyDescent="0.3">
      <c r="A571" s="23" t="s">
        <v>113</v>
      </c>
      <c r="B571" s="23" t="s">
        <v>152</v>
      </c>
      <c r="C571" s="23">
        <v>12689</v>
      </c>
    </row>
    <row r="572" spans="1:3" ht="15.6" x14ac:dyDescent="0.3">
      <c r="A572" s="23" t="s">
        <v>157</v>
      </c>
      <c r="B572" s="23" t="s">
        <v>150</v>
      </c>
      <c r="C572" s="23">
        <v>12723</v>
      </c>
    </row>
    <row r="573" spans="1:3" ht="15.6" x14ac:dyDescent="0.3">
      <c r="A573" s="23" t="s">
        <v>113</v>
      </c>
      <c r="B573" s="23" t="s">
        <v>150</v>
      </c>
      <c r="C573" s="23">
        <v>12732</v>
      </c>
    </row>
    <row r="574" spans="1:3" ht="15.6" x14ac:dyDescent="0.3">
      <c r="A574" s="23" t="s">
        <v>157</v>
      </c>
      <c r="B574" s="23" t="s">
        <v>150</v>
      </c>
      <c r="C574" s="23">
        <v>12754</v>
      </c>
    </row>
    <row r="575" spans="1:3" ht="15.6" x14ac:dyDescent="0.3">
      <c r="A575" s="23" t="s">
        <v>157</v>
      </c>
      <c r="B575" s="23" t="s">
        <v>150</v>
      </c>
      <c r="C575" s="23">
        <v>12761</v>
      </c>
    </row>
    <row r="576" spans="1:3" ht="15.6" x14ac:dyDescent="0.3">
      <c r="A576" s="23" t="s">
        <v>93</v>
      </c>
      <c r="B576" s="23" t="s">
        <v>150</v>
      </c>
      <c r="C576" s="23">
        <v>12767</v>
      </c>
    </row>
    <row r="577" spans="1:3" ht="15.6" x14ac:dyDescent="0.3">
      <c r="A577" s="23" t="s">
        <v>157</v>
      </c>
      <c r="B577" s="23" t="s">
        <v>128</v>
      </c>
      <c r="C577" s="23">
        <v>12800</v>
      </c>
    </row>
    <row r="578" spans="1:3" ht="15.6" x14ac:dyDescent="0.3">
      <c r="A578" s="23" t="s">
        <v>113</v>
      </c>
      <c r="B578" s="23" t="s">
        <v>150</v>
      </c>
      <c r="C578" s="23">
        <v>12825</v>
      </c>
    </row>
    <row r="579" spans="1:3" ht="15.6" x14ac:dyDescent="0.3">
      <c r="A579" s="23" t="s">
        <v>151</v>
      </c>
      <c r="B579" s="23" t="s">
        <v>128</v>
      </c>
      <c r="C579" s="23">
        <v>12834</v>
      </c>
    </row>
    <row r="580" spans="1:3" ht="15.6" x14ac:dyDescent="0.3">
      <c r="A580" s="23" t="s">
        <v>93</v>
      </c>
      <c r="B580" s="23" t="s">
        <v>150</v>
      </c>
      <c r="C580" s="23">
        <v>12843</v>
      </c>
    </row>
    <row r="581" spans="1:3" ht="15.6" x14ac:dyDescent="0.3">
      <c r="A581" s="23" t="s">
        <v>93</v>
      </c>
      <c r="B581" s="23" t="s">
        <v>150</v>
      </c>
      <c r="C581" s="23">
        <v>12886</v>
      </c>
    </row>
    <row r="582" spans="1:3" ht="15.6" x14ac:dyDescent="0.3">
      <c r="A582" s="23" t="s">
        <v>113</v>
      </c>
      <c r="B582" s="23" t="s">
        <v>150</v>
      </c>
      <c r="C582" s="23">
        <v>12921</v>
      </c>
    </row>
    <row r="583" spans="1:3" ht="15.6" x14ac:dyDescent="0.3">
      <c r="A583" s="23" t="s">
        <v>151</v>
      </c>
      <c r="B583" s="23" t="s">
        <v>152</v>
      </c>
      <c r="C583" s="23">
        <v>12932</v>
      </c>
    </row>
    <row r="584" spans="1:3" ht="15.6" x14ac:dyDescent="0.3">
      <c r="A584" s="23" t="s">
        <v>93</v>
      </c>
      <c r="B584" s="23" t="s">
        <v>128</v>
      </c>
      <c r="C584" s="23">
        <v>12944</v>
      </c>
    </row>
    <row r="585" spans="1:3" ht="15.6" x14ac:dyDescent="0.3">
      <c r="A585" s="23" t="s">
        <v>157</v>
      </c>
      <c r="B585" s="23" t="s">
        <v>150</v>
      </c>
      <c r="C585" s="23">
        <v>12965</v>
      </c>
    </row>
    <row r="586" spans="1:3" ht="15.6" x14ac:dyDescent="0.3">
      <c r="A586" s="23" t="s">
        <v>95</v>
      </c>
      <c r="B586" s="23" t="s">
        <v>128</v>
      </c>
      <c r="C586" s="23">
        <v>13001</v>
      </c>
    </row>
    <row r="587" spans="1:3" ht="15.6" x14ac:dyDescent="0.3">
      <c r="A587" s="23" t="s">
        <v>95</v>
      </c>
      <c r="B587" s="23" t="s">
        <v>128</v>
      </c>
      <c r="C587" s="23">
        <v>13012</v>
      </c>
    </row>
    <row r="588" spans="1:3" ht="15.6" x14ac:dyDescent="0.3">
      <c r="A588" s="23" t="s">
        <v>157</v>
      </c>
      <c r="B588" s="23" t="s">
        <v>152</v>
      </c>
      <c r="C588" s="23">
        <v>13023</v>
      </c>
    </row>
    <row r="589" spans="1:3" ht="15.6" x14ac:dyDescent="0.3">
      <c r="A589" s="23" t="s">
        <v>92</v>
      </c>
      <c r="B589" s="23" t="s">
        <v>128</v>
      </c>
      <c r="C589" s="23">
        <v>13023</v>
      </c>
    </row>
    <row r="590" spans="1:3" ht="15.6" x14ac:dyDescent="0.3">
      <c r="A590" s="23" t="s">
        <v>113</v>
      </c>
      <c r="B590" s="23" t="s">
        <v>150</v>
      </c>
      <c r="C590" s="23">
        <v>13031</v>
      </c>
    </row>
    <row r="591" spans="1:3" ht="15.6" x14ac:dyDescent="0.3">
      <c r="A591" s="23" t="s">
        <v>94</v>
      </c>
      <c r="B591" s="23" t="s">
        <v>128</v>
      </c>
      <c r="C591" s="23">
        <v>13038</v>
      </c>
    </row>
    <row r="592" spans="1:3" ht="15.6" x14ac:dyDescent="0.3">
      <c r="A592" s="23" t="s">
        <v>93</v>
      </c>
      <c r="B592" s="23" t="s">
        <v>152</v>
      </c>
      <c r="C592" s="23">
        <v>13044</v>
      </c>
    </row>
    <row r="593" spans="1:3" ht="15.6" x14ac:dyDescent="0.3">
      <c r="A593" s="23" t="s">
        <v>95</v>
      </c>
      <c r="B593" s="23" t="s">
        <v>128</v>
      </c>
      <c r="C593" s="23">
        <v>13044</v>
      </c>
    </row>
    <row r="594" spans="1:3" ht="15.6" x14ac:dyDescent="0.3">
      <c r="A594" s="23" t="s">
        <v>113</v>
      </c>
      <c r="B594" s="23" t="s">
        <v>128</v>
      </c>
      <c r="C594" s="23">
        <v>13058</v>
      </c>
    </row>
    <row r="595" spans="1:3" ht="15.6" x14ac:dyDescent="0.3">
      <c r="A595" s="23" t="s">
        <v>151</v>
      </c>
      <c r="B595" s="23" t="s">
        <v>128</v>
      </c>
      <c r="C595" s="23">
        <v>13067</v>
      </c>
    </row>
    <row r="596" spans="1:3" ht="15.6" x14ac:dyDescent="0.3">
      <c r="A596" s="23" t="s">
        <v>93</v>
      </c>
      <c r="B596" s="23" t="s">
        <v>128</v>
      </c>
      <c r="C596" s="23">
        <v>13068</v>
      </c>
    </row>
    <row r="597" spans="1:3" ht="15.6" x14ac:dyDescent="0.3">
      <c r="A597" s="23" t="s">
        <v>93</v>
      </c>
      <c r="B597" s="23" t="s">
        <v>128</v>
      </c>
      <c r="C597" s="23">
        <v>13069</v>
      </c>
    </row>
    <row r="598" spans="1:3" ht="15.6" x14ac:dyDescent="0.3">
      <c r="A598" s="23" t="s">
        <v>151</v>
      </c>
      <c r="B598" s="23" t="s">
        <v>128</v>
      </c>
      <c r="C598" s="23">
        <v>13070</v>
      </c>
    </row>
    <row r="599" spans="1:3" ht="15.6" x14ac:dyDescent="0.3">
      <c r="A599" s="23" t="s">
        <v>151</v>
      </c>
      <c r="B599" s="23" t="s">
        <v>150</v>
      </c>
      <c r="C599" s="23">
        <v>13093</v>
      </c>
    </row>
    <row r="600" spans="1:3" ht="15.6" x14ac:dyDescent="0.3">
      <c r="A600" s="23" t="s">
        <v>113</v>
      </c>
      <c r="B600" s="23" t="s">
        <v>128</v>
      </c>
      <c r="C600" s="23">
        <v>13094</v>
      </c>
    </row>
    <row r="601" spans="1:3" ht="15.6" x14ac:dyDescent="0.3">
      <c r="A601" s="23" t="s">
        <v>93</v>
      </c>
      <c r="B601" s="23" t="s">
        <v>128</v>
      </c>
      <c r="C601" s="23">
        <v>13140</v>
      </c>
    </row>
    <row r="602" spans="1:3" ht="15.6" x14ac:dyDescent="0.3">
      <c r="A602" s="23" t="s">
        <v>113</v>
      </c>
      <c r="B602" s="23" t="s">
        <v>128</v>
      </c>
      <c r="C602" s="23">
        <v>13151</v>
      </c>
    </row>
    <row r="603" spans="1:3" ht="15.6" x14ac:dyDescent="0.3">
      <c r="A603" s="23" t="s">
        <v>157</v>
      </c>
      <c r="B603" s="23" t="s">
        <v>152</v>
      </c>
      <c r="C603" s="23">
        <v>13181</v>
      </c>
    </row>
    <row r="604" spans="1:3" ht="15.6" x14ac:dyDescent="0.3">
      <c r="A604" s="23" t="s">
        <v>92</v>
      </c>
      <c r="B604" s="23" t="s">
        <v>128</v>
      </c>
      <c r="C604" s="23">
        <v>13194</v>
      </c>
    </row>
    <row r="605" spans="1:3" ht="15.6" x14ac:dyDescent="0.3">
      <c r="A605" s="23" t="s">
        <v>151</v>
      </c>
      <c r="B605" s="23" t="s">
        <v>128</v>
      </c>
      <c r="C605" s="23">
        <v>13208</v>
      </c>
    </row>
    <row r="606" spans="1:3" ht="15.6" x14ac:dyDescent="0.3">
      <c r="A606" s="23" t="s">
        <v>157</v>
      </c>
      <c r="B606" s="23" t="s">
        <v>150</v>
      </c>
      <c r="C606" s="23">
        <v>13218</v>
      </c>
    </row>
    <row r="607" spans="1:3" ht="15.6" x14ac:dyDescent="0.3">
      <c r="A607" s="23" t="s">
        <v>153</v>
      </c>
      <c r="B607" s="23" t="s">
        <v>152</v>
      </c>
      <c r="C607" s="23">
        <v>13405</v>
      </c>
    </row>
    <row r="608" spans="1:3" ht="15.6" x14ac:dyDescent="0.3">
      <c r="A608" s="23" t="s">
        <v>93</v>
      </c>
      <c r="B608" s="23" t="s">
        <v>128</v>
      </c>
      <c r="C608" s="23">
        <v>13443</v>
      </c>
    </row>
    <row r="609" spans="1:3" ht="15.6" x14ac:dyDescent="0.3">
      <c r="A609" s="23" t="s">
        <v>113</v>
      </c>
      <c r="B609" s="23" t="s">
        <v>128</v>
      </c>
      <c r="C609" s="23">
        <v>13476</v>
      </c>
    </row>
    <row r="610" spans="1:3" ht="15.6" x14ac:dyDescent="0.3">
      <c r="A610" s="23" t="s">
        <v>93</v>
      </c>
      <c r="B610" s="23" t="s">
        <v>150</v>
      </c>
      <c r="C610" s="23">
        <v>13496</v>
      </c>
    </row>
    <row r="611" spans="1:3" ht="15.6" x14ac:dyDescent="0.3">
      <c r="A611" s="23" t="s">
        <v>113</v>
      </c>
      <c r="B611" s="23" t="s">
        <v>152</v>
      </c>
      <c r="C611" s="23">
        <v>13529</v>
      </c>
    </row>
    <row r="612" spans="1:3" ht="15.6" x14ac:dyDescent="0.3">
      <c r="A612" s="23" t="s">
        <v>157</v>
      </c>
      <c r="B612" s="23" t="s">
        <v>128</v>
      </c>
      <c r="C612" s="23">
        <v>13532</v>
      </c>
    </row>
    <row r="613" spans="1:3" ht="15.6" x14ac:dyDescent="0.3">
      <c r="A613" s="23" t="s">
        <v>93</v>
      </c>
      <c r="B613" s="23" t="s">
        <v>128</v>
      </c>
      <c r="C613" s="23">
        <v>13536</v>
      </c>
    </row>
    <row r="614" spans="1:3" ht="15.6" x14ac:dyDescent="0.3">
      <c r="A614" s="23" t="s">
        <v>113</v>
      </c>
      <c r="B614" s="23" t="s">
        <v>152</v>
      </c>
      <c r="C614" s="23">
        <v>13546</v>
      </c>
    </row>
    <row r="615" spans="1:3" ht="15.6" x14ac:dyDescent="0.3">
      <c r="A615" s="23" t="s">
        <v>93</v>
      </c>
      <c r="B615" s="23" t="s">
        <v>128</v>
      </c>
      <c r="C615" s="23">
        <v>13554</v>
      </c>
    </row>
    <row r="616" spans="1:3" ht="15.6" x14ac:dyDescent="0.3">
      <c r="A616" s="23" t="s">
        <v>93</v>
      </c>
      <c r="B616" s="23" t="s">
        <v>128</v>
      </c>
      <c r="C616" s="23">
        <v>13573</v>
      </c>
    </row>
    <row r="617" spans="1:3" ht="15.6" x14ac:dyDescent="0.3">
      <c r="A617" s="23" t="s">
        <v>93</v>
      </c>
      <c r="B617" s="23" t="s">
        <v>128</v>
      </c>
      <c r="C617" s="23">
        <v>13574</v>
      </c>
    </row>
    <row r="618" spans="1:3" ht="15.6" x14ac:dyDescent="0.3">
      <c r="A618" s="23" t="s">
        <v>93</v>
      </c>
      <c r="B618" s="23" t="s">
        <v>128</v>
      </c>
      <c r="C618" s="23">
        <v>13574</v>
      </c>
    </row>
    <row r="619" spans="1:3" ht="15.6" x14ac:dyDescent="0.3">
      <c r="A619" s="23" t="s">
        <v>113</v>
      </c>
      <c r="B619" s="23" t="s">
        <v>128</v>
      </c>
      <c r="C619" s="23">
        <v>13577</v>
      </c>
    </row>
    <row r="620" spans="1:3" ht="15.6" x14ac:dyDescent="0.3">
      <c r="A620" s="23" t="s">
        <v>93</v>
      </c>
      <c r="B620" s="23" t="s">
        <v>128</v>
      </c>
      <c r="C620" s="23">
        <v>13598</v>
      </c>
    </row>
    <row r="621" spans="1:3" ht="15.6" x14ac:dyDescent="0.3">
      <c r="A621" s="23" t="s">
        <v>113</v>
      </c>
      <c r="B621" s="23" t="s">
        <v>128</v>
      </c>
      <c r="C621" s="23">
        <v>13603</v>
      </c>
    </row>
    <row r="622" spans="1:3" ht="15.6" x14ac:dyDescent="0.3">
      <c r="A622" s="23" t="s">
        <v>95</v>
      </c>
      <c r="B622" s="23" t="s">
        <v>128</v>
      </c>
      <c r="C622" s="23">
        <v>13604</v>
      </c>
    </row>
    <row r="623" spans="1:3" ht="15.6" x14ac:dyDescent="0.3">
      <c r="A623" s="23" t="s">
        <v>113</v>
      </c>
      <c r="B623" s="23" t="s">
        <v>128</v>
      </c>
      <c r="C623" s="23">
        <v>13604</v>
      </c>
    </row>
    <row r="624" spans="1:3" ht="15.6" x14ac:dyDescent="0.3">
      <c r="A624" s="23" t="s">
        <v>95</v>
      </c>
      <c r="B624" s="23" t="s">
        <v>128</v>
      </c>
      <c r="C624" s="23">
        <v>13613</v>
      </c>
    </row>
    <row r="625" spans="1:3" ht="15.6" x14ac:dyDescent="0.3">
      <c r="A625" s="23" t="s">
        <v>157</v>
      </c>
      <c r="B625" s="23" t="s">
        <v>128</v>
      </c>
      <c r="C625" s="23">
        <v>13616</v>
      </c>
    </row>
    <row r="626" spans="1:3" ht="15.6" x14ac:dyDescent="0.3">
      <c r="A626" s="23" t="s">
        <v>151</v>
      </c>
      <c r="B626" s="23" t="s">
        <v>128</v>
      </c>
      <c r="C626" s="23">
        <v>13665</v>
      </c>
    </row>
    <row r="627" spans="1:3" ht="15.6" x14ac:dyDescent="0.3">
      <c r="A627" s="23" t="s">
        <v>157</v>
      </c>
      <c r="B627" s="23" t="s">
        <v>152</v>
      </c>
      <c r="C627" s="23">
        <v>13674</v>
      </c>
    </row>
    <row r="628" spans="1:3" ht="15.6" x14ac:dyDescent="0.3">
      <c r="A628" s="23" t="s">
        <v>93</v>
      </c>
      <c r="B628" s="23" t="s">
        <v>152</v>
      </c>
      <c r="C628" s="23">
        <v>13685</v>
      </c>
    </row>
    <row r="629" spans="1:3" ht="15.6" x14ac:dyDescent="0.3">
      <c r="A629" s="23" t="s">
        <v>157</v>
      </c>
      <c r="B629" s="23" t="s">
        <v>128</v>
      </c>
      <c r="C629" s="23">
        <v>13697</v>
      </c>
    </row>
    <row r="630" spans="1:3" ht="15.6" x14ac:dyDescent="0.3">
      <c r="A630" s="23" t="s">
        <v>113</v>
      </c>
      <c r="B630" s="23" t="s">
        <v>128</v>
      </c>
      <c r="C630" s="23">
        <v>13704</v>
      </c>
    </row>
    <row r="631" spans="1:3" ht="15.6" x14ac:dyDescent="0.3">
      <c r="A631" s="23" t="s">
        <v>151</v>
      </c>
      <c r="B631" s="23" t="s">
        <v>152</v>
      </c>
      <c r="C631" s="23">
        <v>13712</v>
      </c>
    </row>
    <row r="632" spans="1:3" ht="15.6" x14ac:dyDescent="0.3">
      <c r="A632" s="23" t="s">
        <v>93</v>
      </c>
      <c r="B632" s="23" t="s">
        <v>128</v>
      </c>
      <c r="C632" s="23">
        <v>13715</v>
      </c>
    </row>
    <row r="633" spans="1:3" ht="15.6" x14ac:dyDescent="0.3">
      <c r="A633" s="23" t="s">
        <v>113</v>
      </c>
      <c r="B633" s="23" t="s">
        <v>128</v>
      </c>
      <c r="C633" s="23">
        <v>13726</v>
      </c>
    </row>
    <row r="634" spans="1:3" ht="15.6" x14ac:dyDescent="0.3">
      <c r="A634" s="23" t="s">
        <v>157</v>
      </c>
      <c r="B634" s="23" t="s">
        <v>150</v>
      </c>
      <c r="C634" s="23">
        <v>13842</v>
      </c>
    </row>
    <row r="635" spans="1:3" ht="15.6" x14ac:dyDescent="0.3">
      <c r="A635" s="23" t="s">
        <v>113</v>
      </c>
      <c r="B635" s="23" t="s">
        <v>150</v>
      </c>
      <c r="C635" s="23">
        <v>13903</v>
      </c>
    </row>
    <row r="636" spans="1:3" ht="15.6" x14ac:dyDescent="0.3">
      <c r="A636" s="23" t="s">
        <v>157</v>
      </c>
      <c r="B636" s="23" t="s">
        <v>152</v>
      </c>
      <c r="C636" s="23">
        <v>13904</v>
      </c>
    </row>
    <row r="637" spans="1:3" ht="15.6" x14ac:dyDescent="0.3">
      <c r="A637" s="23" t="s">
        <v>151</v>
      </c>
      <c r="B637" s="23" t="s">
        <v>128</v>
      </c>
      <c r="C637" s="23">
        <v>13936</v>
      </c>
    </row>
    <row r="638" spans="1:3" ht="15.6" x14ac:dyDescent="0.3">
      <c r="A638" s="23" t="s">
        <v>113</v>
      </c>
      <c r="B638" s="23" t="s">
        <v>128</v>
      </c>
      <c r="C638" s="23">
        <v>13938</v>
      </c>
    </row>
    <row r="639" spans="1:3" ht="15.6" x14ac:dyDescent="0.3">
      <c r="A639" s="23" t="s">
        <v>113</v>
      </c>
      <c r="B639" s="23" t="s">
        <v>128</v>
      </c>
      <c r="C639" s="23">
        <v>13975</v>
      </c>
    </row>
    <row r="640" spans="1:3" ht="15.6" x14ac:dyDescent="0.3">
      <c r="A640" s="23" t="s">
        <v>95</v>
      </c>
      <c r="B640" s="23" t="s">
        <v>128</v>
      </c>
      <c r="C640" s="23">
        <v>14001</v>
      </c>
    </row>
    <row r="641" spans="1:3" ht="15.6" x14ac:dyDescent="0.3">
      <c r="A641" s="23" t="s">
        <v>93</v>
      </c>
      <c r="B641" s="23" t="s">
        <v>152</v>
      </c>
      <c r="C641" s="23">
        <v>14018</v>
      </c>
    </row>
    <row r="642" spans="1:3" ht="15.6" x14ac:dyDescent="0.3">
      <c r="A642" s="23" t="s">
        <v>93</v>
      </c>
      <c r="B642" s="23" t="s">
        <v>128</v>
      </c>
      <c r="C642" s="23">
        <v>14111</v>
      </c>
    </row>
    <row r="643" spans="1:3" ht="15.6" x14ac:dyDescent="0.3">
      <c r="A643" s="23" t="s">
        <v>95</v>
      </c>
      <c r="B643" s="23" t="s">
        <v>128</v>
      </c>
      <c r="C643" s="23">
        <v>14183</v>
      </c>
    </row>
    <row r="644" spans="1:3" ht="15.6" x14ac:dyDescent="0.3">
      <c r="A644" s="23" t="s">
        <v>93</v>
      </c>
      <c r="B644" s="23" t="s">
        <v>150</v>
      </c>
      <c r="C644" s="23">
        <v>14251</v>
      </c>
    </row>
    <row r="645" spans="1:3" ht="15.6" x14ac:dyDescent="0.3">
      <c r="A645" s="23" t="s">
        <v>95</v>
      </c>
      <c r="B645" s="23" t="s">
        <v>128</v>
      </c>
      <c r="C645" s="23">
        <v>14260</v>
      </c>
    </row>
    <row r="646" spans="1:3" ht="15.6" x14ac:dyDescent="0.3">
      <c r="A646" s="23" t="s">
        <v>95</v>
      </c>
      <c r="B646" s="23" t="s">
        <v>150</v>
      </c>
      <c r="C646" s="23">
        <v>14325</v>
      </c>
    </row>
    <row r="647" spans="1:3" ht="15.6" x14ac:dyDescent="0.3">
      <c r="A647" s="23" t="s">
        <v>151</v>
      </c>
      <c r="B647" s="23" t="s">
        <v>150</v>
      </c>
      <c r="C647" s="23">
        <v>14361</v>
      </c>
    </row>
    <row r="648" spans="1:3" ht="15.6" x14ac:dyDescent="0.3">
      <c r="A648" s="23" t="s">
        <v>151</v>
      </c>
      <c r="B648" s="23" t="s">
        <v>150</v>
      </c>
      <c r="C648" s="23">
        <v>14475</v>
      </c>
    </row>
    <row r="649" spans="1:3" ht="15.6" x14ac:dyDescent="0.3">
      <c r="A649" s="23" t="s">
        <v>93</v>
      </c>
      <c r="B649" s="23" t="s">
        <v>150</v>
      </c>
      <c r="C649" s="23">
        <v>14522</v>
      </c>
    </row>
    <row r="650" spans="1:3" ht="15.6" x14ac:dyDescent="0.3">
      <c r="A650" s="23" t="s">
        <v>151</v>
      </c>
      <c r="B650" s="23" t="s">
        <v>150</v>
      </c>
      <c r="C650" s="23">
        <v>14526</v>
      </c>
    </row>
    <row r="651" spans="1:3" ht="15.6" x14ac:dyDescent="0.3">
      <c r="A651" s="23" t="s">
        <v>157</v>
      </c>
      <c r="B651" s="23" t="s">
        <v>152</v>
      </c>
      <c r="C651" s="23">
        <v>14571</v>
      </c>
    </row>
    <row r="652" spans="1:3" ht="15.6" x14ac:dyDescent="0.3">
      <c r="A652" s="23" t="s">
        <v>151</v>
      </c>
      <c r="B652" s="23" t="s">
        <v>152</v>
      </c>
      <c r="C652" s="23">
        <v>14582</v>
      </c>
    </row>
    <row r="653" spans="1:3" ht="15.6" x14ac:dyDescent="0.3">
      <c r="A653" s="23" t="s">
        <v>93</v>
      </c>
      <c r="B653" s="23" t="s">
        <v>128</v>
      </c>
      <c r="C653" s="23">
        <v>14591</v>
      </c>
    </row>
    <row r="654" spans="1:3" ht="15.6" x14ac:dyDescent="0.3">
      <c r="A654" s="23" t="s">
        <v>93</v>
      </c>
      <c r="B654" s="23" t="s">
        <v>128</v>
      </c>
      <c r="C654" s="23">
        <v>14601</v>
      </c>
    </row>
    <row r="655" spans="1:3" ht="15.6" x14ac:dyDescent="0.3">
      <c r="A655" s="23" t="s">
        <v>157</v>
      </c>
      <c r="B655" s="23" t="s">
        <v>128</v>
      </c>
      <c r="C655" s="23">
        <v>14613</v>
      </c>
    </row>
    <row r="656" spans="1:3" ht="15.6" x14ac:dyDescent="0.3">
      <c r="A656" s="23" t="s">
        <v>94</v>
      </c>
      <c r="B656" s="23" t="s">
        <v>152</v>
      </c>
      <c r="C656" s="23">
        <v>14613</v>
      </c>
    </row>
    <row r="657" spans="1:3" ht="15.6" x14ac:dyDescent="0.3">
      <c r="A657" s="23" t="s">
        <v>113</v>
      </c>
      <c r="B657" s="23" t="s">
        <v>128</v>
      </c>
      <c r="C657" s="23">
        <v>14624</v>
      </c>
    </row>
    <row r="658" spans="1:3" ht="15.6" x14ac:dyDescent="0.3">
      <c r="A658" s="23" t="s">
        <v>157</v>
      </c>
      <c r="B658" s="23" t="s">
        <v>152</v>
      </c>
      <c r="C658" s="23">
        <v>14648</v>
      </c>
    </row>
    <row r="659" spans="1:3" ht="15.6" x14ac:dyDescent="0.3">
      <c r="A659" s="23" t="s">
        <v>151</v>
      </c>
      <c r="B659" s="23" t="s">
        <v>128</v>
      </c>
      <c r="C659" s="23">
        <v>14659</v>
      </c>
    </row>
    <row r="660" spans="1:3" ht="15.6" x14ac:dyDescent="0.3">
      <c r="A660" s="23" t="s">
        <v>94</v>
      </c>
      <c r="B660" s="23" t="s">
        <v>128</v>
      </c>
      <c r="C660" s="23">
        <v>14678</v>
      </c>
    </row>
    <row r="661" spans="1:3" ht="15.6" x14ac:dyDescent="0.3">
      <c r="A661" s="23" t="s">
        <v>113</v>
      </c>
      <c r="B661" s="23" t="s">
        <v>150</v>
      </c>
      <c r="C661" s="23">
        <v>14721</v>
      </c>
    </row>
    <row r="662" spans="1:3" ht="15.6" x14ac:dyDescent="0.3">
      <c r="A662" s="23" t="s">
        <v>151</v>
      </c>
      <c r="B662" s="23" t="s">
        <v>128</v>
      </c>
      <c r="C662" s="23">
        <v>14732</v>
      </c>
    </row>
    <row r="663" spans="1:3" ht="15.6" x14ac:dyDescent="0.3">
      <c r="A663" s="23" t="s">
        <v>151</v>
      </c>
      <c r="B663" s="23" t="s">
        <v>152</v>
      </c>
      <c r="C663" s="23">
        <v>14738</v>
      </c>
    </row>
    <row r="664" spans="1:3" ht="15.6" x14ac:dyDescent="0.3">
      <c r="A664" s="23" t="s">
        <v>113</v>
      </c>
      <c r="B664" s="23" t="s">
        <v>128</v>
      </c>
      <c r="C664" s="23">
        <v>14739</v>
      </c>
    </row>
    <row r="665" spans="1:3" ht="15.6" x14ac:dyDescent="0.3">
      <c r="A665" s="23" t="s">
        <v>95</v>
      </c>
      <c r="B665" s="23" t="s">
        <v>150</v>
      </c>
      <c r="C665" s="23">
        <v>14748</v>
      </c>
    </row>
    <row r="666" spans="1:3" ht="15.6" x14ac:dyDescent="0.3">
      <c r="A666" s="23" t="s">
        <v>95</v>
      </c>
      <c r="B666" s="23" t="s">
        <v>150</v>
      </c>
      <c r="C666" s="23">
        <v>14756</v>
      </c>
    </row>
    <row r="667" spans="1:3" ht="15.6" x14ac:dyDescent="0.3">
      <c r="A667" s="23" t="s">
        <v>93</v>
      </c>
      <c r="B667" s="23" t="s">
        <v>128</v>
      </c>
      <c r="C667" s="23">
        <v>14761</v>
      </c>
    </row>
    <row r="668" spans="1:3" ht="15.6" x14ac:dyDescent="0.3">
      <c r="A668" s="23" t="s">
        <v>151</v>
      </c>
      <c r="B668" s="23" t="s">
        <v>150</v>
      </c>
      <c r="C668" s="23">
        <v>14812</v>
      </c>
    </row>
    <row r="669" spans="1:3" ht="15.6" x14ac:dyDescent="0.3">
      <c r="A669" s="23" t="s">
        <v>93</v>
      </c>
      <c r="B669" s="23" t="s">
        <v>152</v>
      </c>
      <c r="C669" s="23">
        <v>14817</v>
      </c>
    </row>
    <row r="670" spans="1:3" ht="15.6" x14ac:dyDescent="0.3">
      <c r="A670" s="23" t="s">
        <v>113</v>
      </c>
      <c r="B670" s="23" t="s">
        <v>150</v>
      </c>
      <c r="C670" s="23">
        <v>14825</v>
      </c>
    </row>
    <row r="671" spans="1:3" ht="15.6" x14ac:dyDescent="0.3">
      <c r="A671" s="23" t="s">
        <v>157</v>
      </c>
      <c r="B671" s="23" t="s">
        <v>152</v>
      </c>
      <c r="C671" s="23">
        <v>14853</v>
      </c>
    </row>
    <row r="672" spans="1:3" ht="15.6" x14ac:dyDescent="0.3">
      <c r="A672" s="23" t="s">
        <v>93</v>
      </c>
      <c r="B672" s="23" t="s">
        <v>128</v>
      </c>
      <c r="C672" s="23">
        <v>14860</v>
      </c>
    </row>
    <row r="673" spans="1:3" ht="15.6" x14ac:dyDescent="0.3">
      <c r="A673" s="23" t="s">
        <v>93</v>
      </c>
      <c r="B673" s="23" t="s">
        <v>152</v>
      </c>
      <c r="C673" s="23">
        <v>14890</v>
      </c>
    </row>
    <row r="674" spans="1:3" ht="15.6" x14ac:dyDescent="0.3">
      <c r="A674" s="23" t="s">
        <v>95</v>
      </c>
      <c r="B674" s="23" t="s">
        <v>152</v>
      </c>
      <c r="C674" s="23">
        <v>14910</v>
      </c>
    </row>
    <row r="675" spans="1:3" ht="15.6" x14ac:dyDescent="0.3">
      <c r="A675" s="23" t="s">
        <v>151</v>
      </c>
      <c r="B675" s="23" t="s">
        <v>150</v>
      </c>
      <c r="C675" s="23">
        <v>14944</v>
      </c>
    </row>
    <row r="676" spans="1:3" ht="15.6" x14ac:dyDescent="0.3">
      <c r="A676" s="23" t="s">
        <v>153</v>
      </c>
      <c r="B676" s="23" t="s">
        <v>150</v>
      </c>
      <c r="C676" s="23">
        <v>14987</v>
      </c>
    </row>
    <row r="677" spans="1:3" ht="15.6" x14ac:dyDescent="0.3">
      <c r="A677" s="23" t="s">
        <v>92</v>
      </c>
      <c r="B677" s="23" t="s">
        <v>128</v>
      </c>
      <c r="C677" s="23">
        <v>15004</v>
      </c>
    </row>
    <row r="678" spans="1:3" ht="15.6" x14ac:dyDescent="0.3">
      <c r="A678" s="23" t="s">
        <v>95</v>
      </c>
      <c r="B678" s="23" t="s">
        <v>128</v>
      </c>
      <c r="C678" s="23">
        <v>15005</v>
      </c>
    </row>
    <row r="679" spans="1:3" ht="15.6" x14ac:dyDescent="0.3">
      <c r="A679" s="23" t="s">
        <v>151</v>
      </c>
      <c r="B679" s="23" t="s">
        <v>128</v>
      </c>
      <c r="C679" s="23">
        <v>15028</v>
      </c>
    </row>
    <row r="680" spans="1:3" ht="15.6" x14ac:dyDescent="0.3">
      <c r="A680" s="23" t="s">
        <v>93</v>
      </c>
      <c r="B680" s="23" t="s">
        <v>128</v>
      </c>
      <c r="C680" s="23">
        <v>15061</v>
      </c>
    </row>
    <row r="681" spans="1:3" ht="15.6" x14ac:dyDescent="0.3">
      <c r="A681" s="23" t="s">
        <v>157</v>
      </c>
      <c r="B681" s="23" t="s">
        <v>128</v>
      </c>
      <c r="C681" s="23">
        <v>15221</v>
      </c>
    </row>
    <row r="682" spans="1:3" ht="15.6" x14ac:dyDescent="0.3">
      <c r="A682" s="23" t="s">
        <v>157</v>
      </c>
      <c r="B682" s="23" t="s">
        <v>128</v>
      </c>
      <c r="C682" s="23">
        <v>15264</v>
      </c>
    </row>
    <row r="683" spans="1:3" ht="15.6" x14ac:dyDescent="0.3">
      <c r="A683" s="23" t="s">
        <v>93</v>
      </c>
      <c r="B683" s="23" t="s">
        <v>128</v>
      </c>
      <c r="C683" s="23">
        <v>15264</v>
      </c>
    </row>
    <row r="684" spans="1:3" ht="15.6" x14ac:dyDescent="0.3">
      <c r="A684" s="23" t="s">
        <v>157</v>
      </c>
      <c r="B684" s="23" t="s">
        <v>128</v>
      </c>
      <c r="C684" s="23">
        <v>15289</v>
      </c>
    </row>
    <row r="685" spans="1:3" ht="15.6" x14ac:dyDescent="0.3">
      <c r="A685" s="23" t="s">
        <v>94</v>
      </c>
      <c r="B685" s="23" t="s">
        <v>128</v>
      </c>
      <c r="C685" s="23">
        <v>15301</v>
      </c>
    </row>
    <row r="686" spans="1:3" ht="15.6" x14ac:dyDescent="0.3">
      <c r="A686" s="23" t="s">
        <v>113</v>
      </c>
      <c r="B686" s="23" t="s">
        <v>152</v>
      </c>
      <c r="C686" s="23">
        <v>15305</v>
      </c>
    </row>
    <row r="687" spans="1:3" ht="15.6" x14ac:dyDescent="0.3">
      <c r="A687" s="23" t="s">
        <v>93</v>
      </c>
      <c r="B687" s="23" t="s">
        <v>128</v>
      </c>
      <c r="C687" s="23">
        <v>15765</v>
      </c>
    </row>
    <row r="688" spans="1:3" ht="15.6" x14ac:dyDescent="0.3">
      <c r="A688" s="23" t="s">
        <v>93</v>
      </c>
      <c r="B688" s="23" t="s">
        <v>128</v>
      </c>
      <c r="C688" s="23">
        <v>15783</v>
      </c>
    </row>
    <row r="689" spans="1:3" ht="15.6" x14ac:dyDescent="0.3">
      <c r="A689" s="23" t="s">
        <v>157</v>
      </c>
      <c r="B689" s="23" t="s">
        <v>128</v>
      </c>
      <c r="C689" s="23">
        <v>15826</v>
      </c>
    </row>
    <row r="690" spans="1:3" ht="15.6" x14ac:dyDescent="0.3">
      <c r="A690" s="23" t="s">
        <v>157</v>
      </c>
      <c r="B690" s="23" t="s">
        <v>152</v>
      </c>
      <c r="C690" s="23">
        <v>15989</v>
      </c>
    </row>
    <row r="691" spans="1:3" ht="15.6" x14ac:dyDescent="0.3">
      <c r="A691" s="23" t="s">
        <v>151</v>
      </c>
      <c r="B691" s="23" t="s">
        <v>128</v>
      </c>
      <c r="C691" s="23">
        <v>16016</v>
      </c>
    </row>
    <row r="692" spans="1:3" ht="15.6" x14ac:dyDescent="0.3">
      <c r="A692" s="23" t="s">
        <v>113</v>
      </c>
      <c r="B692" s="23" t="s">
        <v>128</v>
      </c>
      <c r="C692" s="23">
        <v>16039</v>
      </c>
    </row>
    <row r="693" spans="1:3" ht="15.6" x14ac:dyDescent="0.3">
      <c r="A693" s="23" t="s">
        <v>95</v>
      </c>
      <c r="B693" s="23" t="s">
        <v>128</v>
      </c>
      <c r="C693" s="23">
        <v>16084</v>
      </c>
    </row>
    <row r="694" spans="1:3" ht="15.6" x14ac:dyDescent="0.3">
      <c r="A694" s="23" t="s">
        <v>92</v>
      </c>
      <c r="B694" s="23" t="s">
        <v>128</v>
      </c>
      <c r="C694" s="23">
        <v>16094</v>
      </c>
    </row>
    <row r="695" spans="1:3" ht="15.6" x14ac:dyDescent="0.3">
      <c r="A695" s="23" t="s">
        <v>92</v>
      </c>
      <c r="B695" s="23" t="s">
        <v>128</v>
      </c>
      <c r="C695" s="23">
        <v>17012</v>
      </c>
    </row>
    <row r="696" spans="1:3" ht="15.6" x14ac:dyDescent="0.3">
      <c r="A696" s="23" t="s">
        <v>157</v>
      </c>
      <c r="B696" s="23" t="s">
        <v>128</v>
      </c>
      <c r="C696" s="23">
        <v>17032</v>
      </c>
    </row>
    <row r="697" spans="1:3" ht="15.6" x14ac:dyDescent="0.3">
      <c r="A697" s="23" t="s">
        <v>151</v>
      </c>
      <c r="B697" s="23" t="s">
        <v>128</v>
      </c>
      <c r="C697" s="23">
        <v>17049</v>
      </c>
    </row>
    <row r="698" spans="1:3" ht="15.6" x14ac:dyDescent="0.3">
      <c r="A698" s="23" t="s">
        <v>93</v>
      </c>
      <c r="B698" s="23" t="s">
        <v>128</v>
      </c>
      <c r="C698" s="23">
        <v>17069</v>
      </c>
    </row>
    <row r="699" spans="1:3" ht="15.6" x14ac:dyDescent="0.3">
      <c r="A699" s="23" t="s">
        <v>93</v>
      </c>
      <c r="B699" s="23" t="s">
        <v>152</v>
      </c>
      <c r="C699" s="23">
        <v>19080</v>
      </c>
    </row>
    <row r="700" spans="1:3" ht="15.6" x14ac:dyDescent="0.3">
      <c r="A700" s="23" t="s">
        <v>151</v>
      </c>
      <c r="B700" s="23" t="s">
        <v>152</v>
      </c>
      <c r="C700" s="23">
        <v>21079</v>
      </c>
    </row>
    <row r="701" spans="1:3" ht="15.6" x14ac:dyDescent="0.3">
      <c r="A701" s="23" t="s">
        <v>151</v>
      </c>
      <c r="B701" s="23" t="s">
        <v>128</v>
      </c>
      <c r="C701" s="23">
        <v>25050</v>
      </c>
    </row>
    <row r="702" spans="1:3" ht="15.6" x14ac:dyDescent="0.3">
      <c r="A702" s="23" t="s">
        <v>113</v>
      </c>
      <c r="B702" s="23" t="s">
        <v>152</v>
      </c>
      <c r="C702" s="23">
        <v>25088</v>
      </c>
    </row>
    <row r="703" spans="1:3" ht="15.6" x14ac:dyDescent="0.3">
      <c r="A703" s="23" t="s">
        <v>113</v>
      </c>
      <c r="B703" s="23" t="s">
        <v>152</v>
      </c>
      <c r="C703" s="23">
        <v>30020</v>
      </c>
    </row>
    <row r="704" spans="1:3" ht="15.6" x14ac:dyDescent="0.3">
      <c r="A704" s="23" t="s">
        <v>113</v>
      </c>
      <c r="B704" s="23" t="s">
        <v>152</v>
      </c>
      <c r="C704" s="23">
        <v>32043</v>
      </c>
    </row>
    <row r="705" spans="1:3" ht="15.6" x14ac:dyDescent="0.3">
      <c r="A705" s="23" t="s">
        <v>157</v>
      </c>
      <c r="B705" s="23" t="s">
        <v>128</v>
      </c>
      <c r="C705" s="23">
        <v>35010</v>
      </c>
    </row>
    <row r="706" spans="1:3" ht="15.6" x14ac:dyDescent="0.3">
      <c r="A706" s="23" t="s">
        <v>92</v>
      </c>
      <c r="B706" s="23" t="s">
        <v>128</v>
      </c>
      <c r="C706" s="23">
        <v>35063</v>
      </c>
    </row>
    <row r="707" spans="1:3" ht="15.6" x14ac:dyDescent="0.3">
      <c r="A707" s="23" t="s">
        <v>157</v>
      </c>
      <c r="B707" s="23" t="s">
        <v>150</v>
      </c>
      <c r="C707" s="23">
        <v>35774</v>
      </c>
    </row>
    <row r="708" spans="1:3" ht="15.6" x14ac:dyDescent="0.3">
      <c r="A708" s="23" t="s">
        <v>95</v>
      </c>
      <c r="B708" s="23" t="s">
        <v>152</v>
      </c>
      <c r="C708" s="23">
        <v>40692</v>
      </c>
    </row>
    <row r="709" spans="1:3" ht="15.6" x14ac:dyDescent="0.3">
      <c r="A709" s="23" t="s">
        <v>151</v>
      </c>
      <c r="B709" s="23" t="s">
        <v>128</v>
      </c>
      <c r="C709" s="23">
        <v>45006</v>
      </c>
    </row>
    <row r="710" spans="1:3" ht="15.6" x14ac:dyDescent="0.3">
      <c r="A710" s="23" t="s">
        <v>151</v>
      </c>
      <c r="B710" s="23" t="s">
        <v>128</v>
      </c>
      <c r="C710" s="23">
        <v>45029</v>
      </c>
    </row>
    <row r="711" spans="1:3" ht="15.6" x14ac:dyDescent="0.3">
      <c r="A711" s="23" t="s">
        <v>113</v>
      </c>
      <c r="B711" s="23" t="s">
        <v>128</v>
      </c>
      <c r="C711" s="23">
        <v>50011</v>
      </c>
    </row>
    <row r="712" spans="1:3" ht="15.6" x14ac:dyDescent="0.3">
      <c r="A712" s="23" t="s">
        <v>157</v>
      </c>
      <c r="B712" s="23" t="s">
        <v>152</v>
      </c>
      <c r="C712" s="23">
        <v>50038</v>
      </c>
    </row>
    <row r="713" spans="1:3" ht="15.6" x14ac:dyDescent="0.3">
      <c r="A713" s="23" t="s">
        <v>93</v>
      </c>
      <c r="B713" s="23" t="s">
        <v>128</v>
      </c>
      <c r="C713" s="23">
        <v>50046</v>
      </c>
    </row>
    <row r="714" spans="1:3" ht="15.6" x14ac:dyDescent="0.3">
      <c r="A714" s="23" t="s">
        <v>113</v>
      </c>
      <c r="B714" s="23" t="s">
        <v>128</v>
      </c>
      <c r="C714" s="23">
        <v>50052</v>
      </c>
    </row>
    <row r="715" spans="1:3" ht="15.6" x14ac:dyDescent="0.3">
      <c r="A715" s="23" t="s">
        <v>93</v>
      </c>
      <c r="B715" s="23" t="s">
        <v>128</v>
      </c>
      <c r="C715" s="23">
        <v>50090</v>
      </c>
    </row>
    <row r="716" spans="1:3" ht="15.6" x14ac:dyDescent="0.3">
      <c r="A716" s="23" t="s">
        <v>95</v>
      </c>
      <c r="B716" s="23" t="s">
        <v>152</v>
      </c>
      <c r="C716" s="23">
        <v>65001</v>
      </c>
    </row>
    <row r="717" spans="1:3" ht="15.6" x14ac:dyDescent="0.3">
      <c r="A717" s="23" t="s">
        <v>157</v>
      </c>
      <c r="B717" s="23" t="s">
        <v>152</v>
      </c>
      <c r="C717" s="23">
        <v>65014</v>
      </c>
    </row>
    <row r="718" spans="1:3" ht="15.6" x14ac:dyDescent="0.3">
      <c r="A718" s="23" t="s">
        <v>151</v>
      </c>
      <c r="B718" s="23" t="s">
        <v>128</v>
      </c>
      <c r="C718" s="23">
        <v>75013</v>
      </c>
    </row>
    <row r="719" spans="1:3" ht="15.6" x14ac:dyDescent="0.3">
      <c r="A719" s="23" t="s">
        <v>93</v>
      </c>
      <c r="B719" s="23" t="s">
        <v>128</v>
      </c>
      <c r="C719" s="23">
        <v>75020</v>
      </c>
    </row>
    <row r="720" spans="1:3" ht="15.6" x14ac:dyDescent="0.3">
      <c r="A720" s="23" t="s">
        <v>95</v>
      </c>
      <c r="B720" s="23" t="s">
        <v>128</v>
      </c>
      <c r="C720" s="23">
        <v>75032</v>
      </c>
    </row>
    <row r="721" spans="1:3" ht="15.6" x14ac:dyDescent="0.3">
      <c r="A721" s="23" t="s">
        <v>157</v>
      </c>
      <c r="B721" s="23" t="s">
        <v>128</v>
      </c>
      <c r="C721" s="23">
        <v>75039</v>
      </c>
    </row>
    <row r="722" spans="1:3" ht="15.6" x14ac:dyDescent="0.3">
      <c r="A722" s="23" t="s">
        <v>93</v>
      </c>
      <c r="B722" s="23" t="s">
        <v>128</v>
      </c>
      <c r="C722" s="23">
        <v>75046</v>
      </c>
    </row>
    <row r="723" spans="1:3" ht="15.6" x14ac:dyDescent="0.3">
      <c r="A723" s="23" t="s">
        <v>93</v>
      </c>
      <c r="B723" s="23" t="s">
        <v>128</v>
      </c>
      <c r="C723" s="23">
        <v>90007</v>
      </c>
    </row>
    <row r="724" spans="1:3" ht="15.6" x14ac:dyDescent="0.3">
      <c r="A724" s="23" t="s">
        <v>93</v>
      </c>
      <c r="B724" s="23" t="s">
        <v>128</v>
      </c>
      <c r="C724" s="23">
        <v>90025</v>
      </c>
    </row>
    <row r="725" spans="1:3" ht="15.6" x14ac:dyDescent="0.3">
      <c r="A725" s="23" t="s">
        <v>113</v>
      </c>
      <c r="B725" s="23" t="s">
        <v>128</v>
      </c>
      <c r="C725" s="23">
        <v>90075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F145D-E25C-49C5-898C-FFFE0F05CF8A}">
  <sheetPr codeName="Sheet8"/>
  <dimension ref="A1:L725"/>
  <sheetViews>
    <sheetView workbookViewId="0">
      <selection activeCell="G15" sqref="G15"/>
    </sheetView>
  </sheetViews>
  <sheetFormatPr defaultRowHeight="14.4" x14ac:dyDescent="0.3"/>
  <cols>
    <col min="1" max="1" width="15.109375" bestFit="1" customWidth="1"/>
    <col min="2" max="2" width="12.21875" bestFit="1" customWidth="1"/>
    <col min="3" max="3" width="7.33203125" bestFit="1" customWidth="1"/>
    <col min="7" max="7" width="13.33203125" bestFit="1" customWidth="1"/>
    <col min="8" max="11" width="11" bestFit="1" customWidth="1"/>
    <col min="12" max="12" width="10.77734375" bestFit="1" customWidth="1"/>
  </cols>
  <sheetData>
    <row r="1" spans="1:12" ht="21" x14ac:dyDescent="0.4">
      <c r="A1" s="22" t="s">
        <v>91</v>
      </c>
      <c r="B1" s="22" t="s">
        <v>111</v>
      </c>
      <c r="C1" s="22" t="s">
        <v>154</v>
      </c>
    </row>
    <row r="2" spans="1:12" ht="15.6" x14ac:dyDescent="0.3">
      <c r="A2" s="23" t="s">
        <v>94</v>
      </c>
      <c r="B2" s="23" t="s">
        <v>150</v>
      </c>
      <c r="C2" s="23">
        <v>101</v>
      </c>
    </row>
    <row r="3" spans="1:12" ht="15.6" x14ac:dyDescent="0.3">
      <c r="A3" s="23" t="s">
        <v>95</v>
      </c>
      <c r="B3" s="23" t="s">
        <v>150</v>
      </c>
      <c r="C3" s="23">
        <v>101</v>
      </c>
      <c r="G3" s="21" t="s">
        <v>149</v>
      </c>
      <c r="H3" s="21" t="s">
        <v>111</v>
      </c>
    </row>
    <row r="4" spans="1:12" ht="15.6" x14ac:dyDescent="0.3">
      <c r="A4" s="23" t="s">
        <v>95</v>
      </c>
      <c r="B4" s="23" t="s">
        <v>150</v>
      </c>
      <c r="C4" s="23">
        <v>109</v>
      </c>
      <c r="G4" s="21" t="s">
        <v>91</v>
      </c>
      <c r="H4" t="s">
        <v>128</v>
      </c>
      <c r="I4" t="s">
        <v>150</v>
      </c>
      <c r="J4" t="s">
        <v>112</v>
      </c>
      <c r="K4" t="s">
        <v>152</v>
      </c>
      <c r="L4" t="s">
        <v>148</v>
      </c>
    </row>
    <row r="5" spans="1:12" ht="15.6" x14ac:dyDescent="0.3">
      <c r="A5" s="23" t="s">
        <v>151</v>
      </c>
      <c r="B5" s="23" t="s">
        <v>150</v>
      </c>
      <c r="C5" s="23">
        <v>110</v>
      </c>
      <c r="G5" t="s">
        <v>92</v>
      </c>
      <c r="H5">
        <v>136635</v>
      </c>
      <c r="I5">
        <v>56087</v>
      </c>
      <c r="J5">
        <v>9019</v>
      </c>
      <c r="K5">
        <v>38365</v>
      </c>
      <c r="L5">
        <v>240106</v>
      </c>
    </row>
    <row r="6" spans="1:12" ht="15.6" x14ac:dyDescent="0.3">
      <c r="A6" s="23" t="s">
        <v>157</v>
      </c>
      <c r="B6" s="23" t="s">
        <v>150</v>
      </c>
      <c r="C6" s="23">
        <v>111</v>
      </c>
      <c r="G6" t="s">
        <v>93</v>
      </c>
      <c r="H6">
        <v>1032810</v>
      </c>
      <c r="I6">
        <v>416135</v>
      </c>
      <c r="J6">
        <v>61701</v>
      </c>
      <c r="K6">
        <v>420869</v>
      </c>
      <c r="L6">
        <v>1931515</v>
      </c>
    </row>
    <row r="7" spans="1:12" ht="15.6" x14ac:dyDescent="0.3">
      <c r="A7" s="23" t="s">
        <v>93</v>
      </c>
      <c r="B7" s="23" t="s">
        <v>150</v>
      </c>
      <c r="C7" s="23">
        <v>113</v>
      </c>
      <c r="G7" t="s">
        <v>157</v>
      </c>
      <c r="H7">
        <v>428250</v>
      </c>
      <c r="I7">
        <v>359802</v>
      </c>
      <c r="J7">
        <v>7075</v>
      </c>
      <c r="K7">
        <v>383022</v>
      </c>
      <c r="L7">
        <v>1178149</v>
      </c>
    </row>
    <row r="8" spans="1:12" ht="15.6" x14ac:dyDescent="0.3">
      <c r="A8" s="23" t="s">
        <v>151</v>
      </c>
      <c r="B8" s="23" t="s">
        <v>150</v>
      </c>
      <c r="C8" s="23">
        <v>126</v>
      </c>
      <c r="G8" t="s">
        <v>94</v>
      </c>
      <c r="H8">
        <v>76698</v>
      </c>
      <c r="I8">
        <v>29393</v>
      </c>
      <c r="K8">
        <v>44072</v>
      </c>
      <c r="L8">
        <v>150163</v>
      </c>
    </row>
    <row r="9" spans="1:12" ht="15.6" x14ac:dyDescent="0.3">
      <c r="A9" s="23" t="s">
        <v>151</v>
      </c>
      <c r="B9" s="23" t="s">
        <v>150</v>
      </c>
      <c r="C9" s="23">
        <v>135</v>
      </c>
      <c r="G9" t="s">
        <v>95</v>
      </c>
      <c r="H9">
        <v>341974</v>
      </c>
      <c r="I9">
        <v>205989</v>
      </c>
      <c r="J9">
        <v>41846</v>
      </c>
      <c r="K9">
        <v>272602</v>
      </c>
      <c r="L9">
        <v>862411</v>
      </c>
    </row>
    <row r="10" spans="1:12" ht="15.6" x14ac:dyDescent="0.3">
      <c r="A10" s="23" t="s">
        <v>93</v>
      </c>
      <c r="B10" s="23" t="s">
        <v>150</v>
      </c>
      <c r="C10" s="23">
        <v>136</v>
      </c>
      <c r="G10" t="s">
        <v>113</v>
      </c>
      <c r="H10">
        <v>612485</v>
      </c>
      <c r="I10">
        <v>241694</v>
      </c>
      <c r="J10">
        <v>21965</v>
      </c>
      <c r="K10">
        <v>328824</v>
      </c>
      <c r="L10">
        <v>1204968</v>
      </c>
    </row>
    <row r="11" spans="1:12" ht="15.6" x14ac:dyDescent="0.3">
      <c r="A11" s="23" t="s">
        <v>93</v>
      </c>
      <c r="B11" s="23" t="s">
        <v>150</v>
      </c>
      <c r="C11" s="23">
        <v>140</v>
      </c>
      <c r="G11" t="s">
        <v>153</v>
      </c>
      <c r="I11">
        <v>16150</v>
      </c>
      <c r="K11">
        <v>26162</v>
      </c>
      <c r="L11">
        <v>42312</v>
      </c>
    </row>
    <row r="12" spans="1:12" ht="15.6" x14ac:dyDescent="0.3">
      <c r="A12" s="23" t="s">
        <v>93</v>
      </c>
      <c r="B12" s="23" t="s">
        <v>150</v>
      </c>
      <c r="C12" s="23">
        <v>145</v>
      </c>
      <c r="G12" t="s">
        <v>151</v>
      </c>
      <c r="H12">
        <v>527861</v>
      </c>
      <c r="I12">
        <v>271627</v>
      </c>
      <c r="J12">
        <v>72917</v>
      </c>
      <c r="K12">
        <v>185227</v>
      </c>
      <c r="L12">
        <v>1057632</v>
      </c>
    </row>
    <row r="13" spans="1:12" ht="15.6" x14ac:dyDescent="0.3">
      <c r="A13" s="23" t="s">
        <v>157</v>
      </c>
      <c r="B13" s="23" t="s">
        <v>150</v>
      </c>
      <c r="C13" s="23">
        <v>156</v>
      </c>
      <c r="G13" t="s">
        <v>148</v>
      </c>
      <c r="H13">
        <v>3156713</v>
      </c>
      <c r="I13">
        <v>1596877</v>
      </c>
      <c r="J13">
        <v>214523</v>
      </c>
      <c r="K13">
        <v>1699143</v>
      </c>
      <c r="L13">
        <v>6667256</v>
      </c>
    </row>
    <row r="14" spans="1:12" ht="15.6" x14ac:dyDescent="0.3">
      <c r="A14" s="23" t="s">
        <v>113</v>
      </c>
      <c r="B14" s="23" t="s">
        <v>150</v>
      </c>
      <c r="C14" s="23">
        <v>162</v>
      </c>
    </row>
    <row r="15" spans="1:12" ht="15.6" x14ac:dyDescent="0.3">
      <c r="A15" s="23" t="s">
        <v>95</v>
      </c>
      <c r="B15" s="23" t="s">
        <v>150</v>
      </c>
      <c r="C15" s="23">
        <v>163</v>
      </c>
    </row>
    <row r="16" spans="1:12" ht="15.6" x14ac:dyDescent="0.3">
      <c r="A16" s="23" t="s">
        <v>93</v>
      </c>
      <c r="B16" s="23" t="s">
        <v>150</v>
      </c>
      <c r="C16" s="23">
        <v>182</v>
      </c>
    </row>
    <row r="17" spans="1:12" ht="15.6" x14ac:dyDescent="0.3">
      <c r="A17" s="23" t="s">
        <v>92</v>
      </c>
      <c r="B17" s="23" t="s">
        <v>150</v>
      </c>
      <c r="C17" s="23">
        <v>188</v>
      </c>
      <c r="G17" t="str" cm="1">
        <f t="array" ref="G17:L28">_xlfn.PIVOTBY($A$1:$A$725,$B$1:$B$725,$C$1:$C$725,_xleta.SUM,3)</f>
        <v/>
      </c>
      <c r="H17" t="str">
        <v>AcctType</v>
      </c>
      <c r="I17" t="str">
        <v/>
      </c>
      <c r="J17" t="str">
        <v/>
      </c>
      <c r="K17" t="str">
        <v/>
      </c>
      <c r="L17" t="str">
        <v/>
      </c>
    </row>
    <row r="18" spans="1:12" ht="15.6" x14ac:dyDescent="0.3">
      <c r="A18" s="23" t="s">
        <v>94</v>
      </c>
      <c r="B18" s="23" t="s">
        <v>150</v>
      </c>
      <c r="C18" s="23">
        <v>191</v>
      </c>
      <c r="G18" t="str">
        <v/>
      </c>
      <c r="H18" t="str">
        <v>CD</v>
      </c>
      <c r="I18" t="str">
        <v>Checking</v>
      </c>
      <c r="J18" t="str">
        <v>IRA</v>
      </c>
      <c r="K18" t="str">
        <v>Savings</v>
      </c>
      <c r="L18" t="str">
        <v>Total</v>
      </c>
    </row>
    <row r="19" spans="1:12" ht="15.6" x14ac:dyDescent="0.3">
      <c r="A19" s="23" t="s">
        <v>93</v>
      </c>
      <c r="B19" s="23" t="s">
        <v>150</v>
      </c>
      <c r="C19" s="23">
        <v>192</v>
      </c>
      <c r="G19" t="str">
        <v>Agent</v>
      </c>
      <c r="H19" t="str">
        <v>Sales</v>
      </c>
      <c r="I19" t="str">
        <v>Sales</v>
      </c>
      <c r="J19" t="str">
        <v>Sales</v>
      </c>
      <c r="K19" t="str">
        <v>Sales</v>
      </c>
      <c r="L19" t="str">
        <v>Sales</v>
      </c>
    </row>
    <row r="20" spans="1:12" ht="15.6" x14ac:dyDescent="0.3">
      <c r="A20" s="23" t="s">
        <v>93</v>
      </c>
      <c r="B20" s="23" t="s">
        <v>150</v>
      </c>
      <c r="C20" s="23">
        <v>192</v>
      </c>
      <c r="G20" t="str">
        <v>Arun Kumar</v>
      </c>
      <c r="H20">
        <v>136635</v>
      </c>
      <c r="I20">
        <v>56087</v>
      </c>
      <c r="J20">
        <v>9019</v>
      </c>
      <c r="K20">
        <v>38365</v>
      </c>
      <c r="L20">
        <v>240106</v>
      </c>
    </row>
    <row r="21" spans="1:12" ht="15.6" x14ac:dyDescent="0.3">
      <c r="A21" s="23" t="s">
        <v>93</v>
      </c>
      <c r="B21" s="23" t="s">
        <v>150</v>
      </c>
      <c r="C21" s="23">
        <v>192</v>
      </c>
      <c r="G21" t="str">
        <v>Ashok Kumar</v>
      </c>
      <c r="H21">
        <v>1032810</v>
      </c>
      <c r="I21">
        <v>416135</v>
      </c>
      <c r="J21">
        <v>61701</v>
      </c>
      <c r="K21">
        <v>420869</v>
      </c>
      <c r="L21">
        <v>1931515</v>
      </c>
    </row>
    <row r="22" spans="1:12" ht="15.6" x14ac:dyDescent="0.3">
      <c r="A22" s="23" t="s">
        <v>93</v>
      </c>
      <c r="B22" s="23" t="s">
        <v>150</v>
      </c>
      <c r="C22" s="23">
        <v>193</v>
      </c>
      <c r="G22" t="str">
        <v>Pawan Kumar</v>
      </c>
      <c r="H22">
        <v>428250</v>
      </c>
      <c r="I22">
        <v>359802</v>
      </c>
      <c r="J22">
        <v>7075</v>
      </c>
      <c r="K22">
        <v>383022</v>
      </c>
      <c r="L22">
        <v>1178149</v>
      </c>
    </row>
    <row r="23" spans="1:12" ht="15.6" x14ac:dyDescent="0.3">
      <c r="A23" s="23" t="s">
        <v>151</v>
      </c>
      <c r="B23" s="23" t="s">
        <v>150</v>
      </c>
      <c r="C23" s="23">
        <v>199</v>
      </c>
      <c r="G23" t="str">
        <v>Pramod Kumar</v>
      </c>
      <c r="H23">
        <v>76698</v>
      </c>
      <c r="I23">
        <v>29393</v>
      </c>
      <c r="J23" t="str">
        <v/>
      </c>
      <c r="K23">
        <v>44072</v>
      </c>
      <c r="L23">
        <v>150163</v>
      </c>
    </row>
    <row r="24" spans="1:12" ht="15.6" x14ac:dyDescent="0.3">
      <c r="A24" s="23" t="s">
        <v>94</v>
      </c>
      <c r="B24" s="23" t="s">
        <v>152</v>
      </c>
      <c r="C24" s="23">
        <v>202</v>
      </c>
      <c r="G24" t="str">
        <v>Praveen Kumar</v>
      </c>
      <c r="H24">
        <v>341974</v>
      </c>
      <c r="I24">
        <v>205989</v>
      </c>
      <c r="J24">
        <v>41846</v>
      </c>
      <c r="K24">
        <v>272602</v>
      </c>
      <c r="L24">
        <v>862411</v>
      </c>
    </row>
    <row r="25" spans="1:12" ht="15.6" x14ac:dyDescent="0.3">
      <c r="A25" s="23" t="s">
        <v>113</v>
      </c>
      <c r="B25" s="23" t="s">
        <v>150</v>
      </c>
      <c r="C25" s="23">
        <v>212</v>
      </c>
      <c r="G25" t="str">
        <v>Rahul Kumar</v>
      </c>
      <c r="H25">
        <v>612485</v>
      </c>
      <c r="I25">
        <v>241694</v>
      </c>
      <c r="J25">
        <v>21965</v>
      </c>
      <c r="K25">
        <v>328824</v>
      </c>
      <c r="L25">
        <v>1204968</v>
      </c>
    </row>
    <row r="26" spans="1:12" ht="15.6" x14ac:dyDescent="0.3">
      <c r="A26" s="23" t="s">
        <v>157</v>
      </c>
      <c r="B26" s="23" t="s">
        <v>152</v>
      </c>
      <c r="C26" s="23">
        <v>217</v>
      </c>
      <c r="G26" t="str">
        <v xml:space="preserve">Sweta </v>
      </c>
      <c r="H26" t="str">
        <v/>
      </c>
      <c r="I26">
        <v>16150</v>
      </c>
      <c r="J26" t="str">
        <v/>
      </c>
      <c r="K26">
        <v>26162</v>
      </c>
      <c r="L26">
        <v>42312</v>
      </c>
    </row>
    <row r="27" spans="1:12" ht="15.6" x14ac:dyDescent="0.3">
      <c r="A27" s="23" t="s">
        <v>157</v>
      </c>
      <c r="B27" s="23" t="s">
        <v>150</v>
      </c>
      <c r="C27" s="23">
        <v>228</v>
      </c>
      <c r="G27" t="str">
        <v>Varun Kumar</v>
      </c>
      <c r="H27">
        <v>527861</v>
      </c>
      <c r="I27">
        <v>271627</v>
      </c>
      <c r="J27">
        <v>72917</v>
      </c>
      <c r="K27">
        <v>185227</v>
      </c>
      <c r="L27">
        <v>1057632</v>
      </c>
    </row>
    <row r="28" spans="1:12" ht="15.6" x14ac:dyDescent="0.3">
      <c r="A28" s="23" t="s">
        <v>93</v>
      </c>
      <c r="B28" s="23" t="s">
        <v>152</v>
      </c>
      <c r="C28" s="23">
        <v>230</v>
      </c>
      <c r="G28" t="str">
        <v>Total</v>
      </c>
      <c r="H28">
        <v>3156713</v>
      </c>
      <c r="I28">
        <v>1596877</v>
      </c>
      <c r="J28">
        <v>214523</v>
      </c>
      <c r="K28">
        <v>1699143</v>
      </c>
      <c r="L28">
        <v>6667256</v>
      </c>
    </row>
    <row r="29" spans="1:12" ht="15.6" x14ac:dyDescent="0.3">
      <c r="A29" s="23" t="s">
        <v>151</v>
      </c>
      <c r="B29" s="23" t="s">
        <v>150</v>
      </c>
      <c r="C29" s="23">
        <v>242</v>
      </c>
    </row>
    <row r="30" spans="1:12" ht="15.6" x14ac:dyDescent="0.3">
      <c r="A30" s="23" t="s">
        <v>113</v>
      </c>
      <c r="B30" s="23" t="s">
        <v>150</v>
      </c>
      <c r="C30" s="23">
        <v>244</v>
      </c>
    </row>
    <row r="31" spans="1:12" ht="15.6" x14ac:dyDescent="0.3">
      <c r="A31" s="23" t="s">
        <v>95</v>
      </c>
      <c r="B31" s="23" t="s">
        <v>152</v>
      </c>
      <c r="C31" s="23">
        <v>256</v>
      </c>
    </row>
    <row r="32" spans="1:12" ht="15.6" x14ac:dyDescent="0.3">
      <c r="A32" s="23" t="s">
        <v>95</v>
      </c>
      <c r="B32" s="23" t="s">
        <v>150</v>
      </c>
      <c r="C32" s="23">
        <v>262</v>
      </c>
    </row>
    <row r="33" spans="1:3" ht="15.6" x14ac:dyDescent="0.3">
      <c r="A33" s="23" t="s">
        <v>151</v>
      </c>
      <c r="B33" s="23" t="s">
        <v>150</v>
      </c>
      <c r="C33" s="23">
        <v>263</v>
      </c>
    </row>
    <row r="34" spans="1:3" ht="15.6" x14ac:dyDescent="0.3">
      <c r="A34" s="23" t="s">
        <v>95</v>
      </c>
      <c r="B34" s="23" t="s">
        <v>150</v>
      </c>
      <c r="C34" s="23">
        <v>269</v>
      </c>
    </row>
    <row r="35" spans="1:3" ht="15.6" x14ac:dyDescent="0.3">
      <c r="A35" s="23" t="s">
        <v>93</v>
      </c>
      <c r="B35" s="23" t="s">
        <v>150</v>
      </c>
      <c r="C35" s="23">
        <v>270</v>
      </c>
    </row>
    <row r="36" spans="1:3" ht="15.6" x14ac:dyDescent="0.3">
      <c r="A36" s="23" t="s">
        <v>157</v>
      </c>
      <c r="B36" s="23" t="s">
        <v>150</v>
      </c>
      <c r="C36" s="23">
        <v>289</v>
      </c>
    </row>
    <row r="37" spans="1:3" ht="15.6" x14ac:dyDescent="0.3">
      <c r="A37" s="23" t="s">
        <v>93</v>
      </c>
      <c r="B37" s="23" t="s">
        <v>150</v>
      </c>
      <c r="C37" s="23">
        <v>307</v>
      </c>
    </row>
    <row r="38" spans="1:3" ht="15.6" x14ac:dyDescent="0.3">
      <c r="A38" s="23" t="s">
        <v>151</v>
      </c>
      <c r="B38" s="23" t="s">
        <v>150</v>
      </c>
      <c r="C38" s="23">
        <v>307</v>
      </c>
    </row>
    <row r="39" spans="1:3" ht="15.6" x14ac:dyDescent="0.3">
      <c r="A39" s="23" t="s">
        <v>113</v>
      </c>
      <c r="B39" s="23" t="s">
        <v>152</v>
      </c>
      <c r="C39" s="23">
        <v>308</v>
      </c>
    </row>
    <row r="40" spans="1:3" ht="15.6" x14ac:dyDescent="0.3">
      <c r="A40" s="23" t="s">
        <v>151</v>
      </c>
      <c r="B40" s="23" t="s">
        <v>150</v>
      </c>
      <c r="C40" s="23">
        <v>318</v>
      </c>
    </row>
    <row r="41" spans="1:3" ht="15.6" x14ac:dyDescent="0.3">
      <c r="A41" s="23" t="s">
        <v>93</v>
      </c>
      <c r="B41" s="23" t="s">
        <v>150</v>
      </c>
      <c r="C41" s="23">
        <v>319</v>
      </c>
    </row>
    <row r="42" spans="1:3" ht="15.6" x14ac:dyDescent="0.3">
      <c r="A42" s="23" t="s">
        <v>151</v>
      </c>
      <c r="B42" s="23" t="s">
        <v>152</v>
      </c>
      <c r="C42" s="23">
        <v>332</v>
      </c>
    </row>
    <row r="43" spans="1:3" ht="15.6" x14ac:dyDescent="0.3">
      <c r="A43" s="23" t="s">
        <v>92</v>
      </c>
      <c r="B43" s="23" t="s">
        <v>150</v>
      </c>
      <c r="C43" s="23">
        <v>341</v>
      </c>
    </row>
    <row r="44" spans="1:3" ht="15.6" x14ac:dyDescent="0.3">
      <c r="A44" s="23" t="s">
        <v>93</v>
      </c>
      <c r="B44" s="23" t="s">
        <v>150</v>
      </c>
      <c r="C44" s="23">
        <v>374</v>
      </c>
    </row>
    <row r="45" spans="1:3" ht="15.6" x14ac:dyDescent="0.3">
      <c r="A45" s="23" t="s">
        <v>94</v>
      </c>
      <c r="B45" s="23" t="s">
        <v>150</v>
      </c>
      <c r="C45" s="23">
        <v>377</v>
      </c>
    </row>
    <row r="46" spans="1:3" ht="15.6" x14ac:dyDescent="0.3">
      <c r="A46" s="23" t="s">
        <v>92</v>
      </c>
      <c r="B46" s="23" t="s">
        <v>150</v>
      </c>
      <c r="C46" s="23">
        <v>384</v>
      </c>
    </row>
    <row r="47" spans="1:3" ht="15.6" x14ac:dyDescent="0.3">
      <c r="A47" s="23" t="s">
        <v>93</v>
      </c>
      <c r="B47" s="23" t="s">
        <v>150</v>
      </c>
      <c r="C47" s="23">
        <v>419</v>
      </c>
    </row>
    <row r="48" spans="1:3" ht="15.6" x14ac:dyDescent="0.3">
      <c r="A48" s="23" t="s">
        <v>93</v>
      </c>
      <c r="B48" s="23" t="s">
        <v>150</v>
      </c>
      <c r="C48" s="23">
        <v>423</v>
      </c>
    </row>
    <row r="49" spans="1:3" ht="15.6" x14ac:dyDescent="0.3">
      <c r="A49" s="23" t="s">
        <v>113</v>
      </c>
      <c r="B49" s="23" t="s">
        <v>150</v>
      </c>
      <c r="C49" s="23">
        <v>430</v>
      </c>
    </row>
    <row r="50" spans="1:3" ht="15.6" x14ac:dyDescent="0.3">
      <c r="A50" s="23" t="s">
        <v>93</v>
      </c>
      <c r="B50" s="23" t="s">
        <v>150</v>
      </c>
      <c r="C50" s="23">
        <v>443</v>
      </c>
    </row>
    <row r="51" spans="1:3" ht="15.6" x14ac:dyDescent="0.3">
      <c r="A51" s="23" t="s">
        <v>93</v>
      </c>
      <c r="B51" s="23" t="s">
        <v>150</v>
      </c>
      <c r="C51" s="23">
        <v>446</v>
      </c>
    </row>
    <row r="52" spans="1:3" ht="15.6" x14ac:dyDescent="0.3">
      <c r="A52" s="23" t="s">
        <v>93</v>
      </c>
      <c r="B52" s="23" t="s">
        <v>150</v>
      </c>
      <c r="C52" s="23">
        <v>452</v>
      </c>
    </row>
    <row r="53" spans="1:3" ht="15.6" x14ac:dyDescent="0.3">
      <c r="A53" s="23" t="s">
        <v>157</v>
      </c>
      <c r="B53" s="23" t="s">
        <v>150</v>
      </c>
      <c r="C53" s="23">
        <v>461</v>
      </c>
    </row>
    <row r="54" spans="1:3" ht="15.6" x14ac:dyDescent="0.3">
      <c r="A54" s="23" t="s">
        <v>93</v>
      </c>
      <c r="B54" s="23" t="s">
        <v>150</v>
      </c>
      <c r="C54" s="23">
        <v>463</v>
      </c>
    </row>
    <row r="55" spans="1:3" ht="15.6" x14ac:dyDescent="0.3">
      <c r="A55" s="23" t="s">
        <v>92</v>
      </c>
      <c r="B55" s="23" t="s">
        <v>150</v>
      </c>
      <c r="C55" s="23">
        <v>471</v>
      </c>
    </row>
    <row r="56" spans="1:3" ht="15.6" x14ac:dyDescent="0.3">
      <c r="A56" s="23" t="s">
        <v>113</v>
      </c>
      <c r="B56" s="23" t="s">
        <v>150</v>
      </c>
      <c r="C56" s="23">
        <v>476</v>
      </c>
    </row>
    <row r="57" spans="1:3" ht="15.6" x14ac:dyDescent="0.3">
      <c r="A57" s="23" t="s">
        <v>93</v>
      </c>
      <c r="B57" s="23" t="s">
        <v>150</v>
      </c>
      <c r="C57" s="23">
        <v>486</v>
      </c>
    </row>
    <row r="58" spans="1:3" ht="15.6" x14ac:dyDescent="0.3">
      <c r="A58" s="23" t="s">
        <v>113</v>
      </c>
      <c r="B58" s="23" t="s">
        <v>152</v>
      </c>
      <c r="C58" s="23">
        <v>504</v>
      </c>
    </row>
    <row r="59" spans="1:3" ht="15.6" x14ac:dyDescent="0.3">
      <c r="A59" s="23" t="s">
        <v>94</v>
      </c>
      <c r="B59" s="23" t="s">
        <v>152</v>
      </c>
      <c r="C59" s="23">
        <v>506</v>
      </c>
    </row>
    <row r="60" spans="1:3" ht="15.6" x14ac:dyDescent="0.3">
      <c r="A60" s="23" t="s">
        <v>95</v>
      </c>
      <c r="B60" s="23" t="s">
        <v>150</v>
      </c>
      <c r="C60" s="23">
        <v>509</v>
      </c>
    </row>
    <row r="61" spans="1:3" ht="15.6" x14ac:dyDescent="0.3">
      <c r="A61" s="23" t="s">
        <v>93</v>
      </c>
      <c r="B61" s="23" t="s">
        <v>150</v>
      </c>
      <c r="C61" s="23">
        <v>510</v>
      </c>
    </row>
    <row r="62" spans="1:3" ht="15.6" x14ac:dyDescent="0.3">
      <c r="A62" s="23" t="s">
        <v>151</v>
      </c>
      <c r="B62" s="23" t="s">
        <v>152</v>
      </c>
      <c r="C62" s="23">
        <v>523</v>
      </c>
    </row>
    <row r="63" spans="1:3" ht="15.6" x14ac:dyDescent="0.3">
      <c r="A63" s="23" t="s">
        <v>92</v>
      </c>
      <c r="B63" s="23" t="s">
        <v>152</v>
      </c>
      <c r="C63" s="23">
        <v>531</v>
      </c>
    </row>
    <row r="64" spans="1:3" ht="15.6" x14ac:dyDescent="0.3">
      <c r="A64" s="23" t="s">
        <v>113</v>
      </c>
      <c r="B64" s="23" t="s">
        <v>150</v>
      </c>
      <c r="C64" s="23">
        <v>539</v>
      </c>
    </row>
    <row r="65" spans="1:3" ht="15.6" x14ac:dyDescent="0.3">
      <c r="A65" s="23" t="s">
        <v>113</v>
      </c>
      <c r="B65" s="23" t="s">
        <v>152</v>
      </c>
      <c r="C65" s="23">
        <v>542</v>
      </c>
    </row>
    <row r="66" spans="1:3" ht="15.6" x14ac:dyDescent="0.3">
      <c r="A66" s="23" t="s">
        <v>113</v>
      </c>
      <c r="B66" s="23" t="s">
        <v>150</v>
      </c>
      <c r="C66" s="23">
        <v>542</v>
      </c>
    </row>
    <row r="67" spans="1:3" ht="15.6" x14ac:dyDescent="0.3">
      <c r="A67" s="23" t="s">
        <v>93</v>
      </c>
      <c r="B67" s="23" t="s">
        <v>150</v>
      </c>
      <c r="C67" s="23">
        <v>544</v>
      </c>
    </row>
    <row r="68" spans="1:3" ht="15.6" x14ac:dyDescent="0.3">
      <c r="A68" s="23" t="s">
        <v>93</v>
      </c>
      <c r="B68" s="23" t="s">
        <v>152</v>
      </c>
      <c r="C68" s="23">
        <v>545</v>
      </c>
    </row>
    <row r="69" spans="1:3" ht="15.6" x14ac:dyDescent="0.3">
      <c r="A69" s="23" t="s">
        <v>151</v>
      </c>
      <c r="B69" s="23" t="s">
        <v>150</v>
      </c>
      <c r="C69" s="23">
        <v>554</v>
      </c>
    </row>
    <row r="70" spans="1:3" ht="15.6" x14ac:dyDescent="0.3">
      <c r="A70" s="23" t="s">
        <v>93</v>
      </c>
      <c r="B70" s="23" t="s">
        <v>150</v>
      </c>
      <c r="C70" s="23">
        <v>564</v>
      </c>
    </row>
    <row r="71" spans="1:3" ht="15.6" x14ac:dyDescent="0.3">
      <c r="A71" s="23" t="s">
        <v>94</v>
      </c>
      <c r="B71" s="23" t="s">
        <v>150</v>
      </c>
      <c r="C71" s="23">
        <v>565</v>
      </c>
    </row>
    <row r="72" spans="1:3" ht="15.6" x14ac:dyDescent="0.3">
      <c r="A72" s="23" t="s">
        <v>153</v>
      </c>
      <c r="B72" s="23" t="s">
        <v>150</v>
      </c>
      <c r="C72" s="23">
        <v>569</v>
      </c>
    </row>
    <row r="73" spans="1:3" ht="15.6" x14ac:dyDescent="0.3">
      <c r="A73" s="23" t="s">
        <v>157</v>
      </c>
      <c r="B73" s="23" t="s">
        <v>152</v>
      </c>
      <c r="C73" s="23">
        <v>573</v>
      </c>
    </row>
    <row r="74" spans="1:3" ht="15.6" x14ac:dyDescent="0.3">
      <c r="A74" s="23" t="s">
        <v>113</v>
      </c>
      <c r="B74" s="23" t="s">
        <v>150</v>
      </c>
      <c r="C74" s="23">
        <v>575</v>
      </c>
    </row>
    <row r="75" spans="1:3" ht="15.6" x14ac:dyDescent="0.3">
      <c r="A75" s="23" t="s">
        <v>151</v>
      </c>
      <c r="B75" s="23" t="s">
        <v>150</v>
      </c>
      <c r="C75" s="23">
        <v>576</v>
      </c>
    </row>
    <row r="76" spans="1:3" ht="15.6" x14ac:dyDescent="0.3">
      <c r="A76" s="23" t="s">
        <v>157</v>
      </c>
      <c r="B76" s="23" t="s">
        <v>150</v>
      </c>
      <c r="C76" s="23">
        <v>577</v>
      </c>
    </row>
    <row r="77" spans="1:3" ht="15.6" x14ac:dyDescent="0.3">
      <c r="A77" s="23" t="s">
        <v>113</v>
      </c>
      <c r="B77" s="23" t="s">
        <v>150</v>
      </c>
      <c r="C77" s="23">
        <v>580</v>
      </c>
    </row>
    <row r="78" spans="1:3" ht="15.6" x14ac:dyDescent="0.3">
      <c r="A78" s="23" t="s">
        <v>113</v>
      </c>
      <c r="B78" s="23" t="s">
        <v>150</v>
      </c>
      <c r="C78" s="23">
        <v>582</v>
      </c>
    </row>
    <row r="79" spans="1:3" ht="15.6" x14ac:dyDescent="0.3">
      <c r="A79" s="23" t="s">
        <v>93</v>
      </c>
      <c r="B79" s="23" t="s">
        <v>150</v>
      </c>
      <c r="C79" s="23">
        <v>584</v>
      </c>
    </row>
    <row r="80" spans="1:3" ht="15.6" x14ac:dyDescent="0.3">
      <c r="A80" s="23" t="s">
        <v>113</v>
      </c>
      <c r="B80" s="23" t="s">
        <v>150</v>
      </c>
      <c r="C80" s="23">
        <v>590</v>
      </c>
    </row>
    <row r="81" spans="1:3" ht="15.6" x14ac:dyDescent="0.3">
      <c r="A81" s="23" t="s">
        <v>153</v>
      </c>
      <c r="B81" s="23" t="s">
        <v>150</v>
      </c>
      <c r="C81" s="23">
        <v>594</v>
      </c>
    </row>
    <row r="82" spans="1:3" ht="15.6" x14ac:dyDescent="0.3">
      <c r="A82" s="23" t="s">
        <v>93</v>
      </c>
      <c r="B82" s="23" t="s">
        <v>152</v>
      </c>
      <c r="C82" s="23">
        <v>597</v>
      </c>
    </row>
    <row r="83" spans="1:3" ht="15.6" x14ac:dyDescent="0.3">
      <c r="A83" s="23" t="s">
        <v>92</v>
      </c>
      <c r="B83" s="23" t="s">
        <v>150</v>
      </c>
      <c r="C83" s="23">
        <v>598</v>
      </c>
    </row>
    <row r="84" spans="1:3" ht="15.6" x14ac:dyDescent="0.3">
      <c r="A84" s="23" t="s">
        <v>151</v>
      </c>
      <c r="B84" s="23" t="s">
        <v>152</v>
      </c>
      <c r="C84" s="23">
        <v>602</v>
      </c>
    </row>
    <row r="85" spans="1:3" ht="15.6" x14ac:dyDescent="0.3">
      <c r="A85" s="23" t="s">
        <v>93</v>
      </c>
      <c r="B85" s="23" t="s">
        <v>152</v>
      </c>
      <c r="C85" s="23">
        <v>619</v>
      </c>
    </row>
    <row r="86" spans="1:3" ht="15.6" x14ac:dyDescent="0.3">
      <c r="A86" s="23" t="s">
        <v>95</v>
      </c>
      <c r="B86" s="23" t="s">
        <v>152</v>
      </c>
      <c r="C86" s="23">
        <v>649</v>
      </c>
    </row>
    <row r="87" spans="1:3" ht="15.6" x14ac:dyDescent="0.3">
      <c r="A87" s="23" t="s">
        <v>157</v>
      </c>
      <c r="B87" s="23" t="s">
        <v>152</v>
      </c>
      <c r="C87" s="23">
        <v>660</v>
      </c>
    </row>
    <row r="88" spans="1:3" ht="15.6" x14ac:dyDescent="0.3">
      <c r="A88" s="23" t="s">
        <v>153</v>
      </c>
      <c r="B88" s="23" t="s">
        <v>152</v>
      </c>
      <c r="C88" s="23">
        <v>666</v>
      </c>
    </row>
    <row r="89" spans="1:3" ht="15.6" x14ac:dyDescent="0.3">
      <c r="A89" s="23" t="s">
        <v>95</v>
      </c>
      <c r="B89" s="23" t="s">
        <v>150</v>
      </c>
      <c r="C89" s="23">
        <v>1001</v>
      </c>
    </row>
    <row r="90" spans="1:3" ht="15.6" x14ac:dyDescent="0.3">
      <c r="A90" s="23" t="s">
        <v>151</v>
      </c>
      <c r="B90" s="23" t="s">
        <v>150</v>
      </c>
      <c r="C90" s="23">
        <v>1001</v>
      </c>
    </row>
    <row r="91" spans="1:3" ht="15.6" x14ac:dyDescent="0.3">
      <c r="A91" s="23" t="s">
        <v>151</v>
      </c>
      <c r="B91" s="23" t="s">
        <v>150</v>
      </c>
      <c r="C91" s="23">
        <v>1003</v>
      </c>
    </row>
    <row r="92" spans="1:3" ht="15.6" x14ac:dyDescent="0.3">
      <c r="A92" s="23" t="s">
        <v>94</v>
      </c>
      <c r="B92" s="23" t="s">
        <v>150</v>
      </c>
      <c r="C92" s="23">
        <v>1037</v>
      </c>
    </row>
    <row r="93" spans="1:3" ht="15.6" x14ac:dyDescent="0.3">
      <c r="A93" s="23" t="s">
        <v>113</v>
      </c>
      <c r="B93" s="23" t="s">
        <v>150</v>
      </c>
      <c r="C93" s="23">
        <v>1042</v>
      </c>
    </row>
    <row r="94" spans="1:3" ht="15.6" x14ac:dyDescent="0.3">
      <c r="A94" s="23" t="s">
        <v>95</v>
      </c>
      <c r="B94" s="23" t="s">
        <v>150</v>
      </c>
      <c r="C94" s="23">
        <v>1060</v>
      </c>
    </row>
    <row r="95" spans="1:3" ht="15.6" x14ac:dyDescent="0.3">
      <c r="A95" s="23" t="s">
        <v>93</v>
      </c>
      <c r="B95" s="23" t="s">
        <v>152</v>
      </c>
      <c r="C95" s="23">
        <v>1081</v>
      </c>
    </row>
    <row r="96" spans="1:3" ht="15.6" x14ac:dyDescent="0.3">
      <c r="A96" s="23" t="s">
        <v>157</v>
      </c>
      <c r="B96" s="23" t="s">
        <v>150</v>
      </c>
      <c r="C96" s="23">
        <v>1082</v>
      </c>
    </row>
    <row r="97" spans="1:3" ht="15.6" x14ac:dyDescent="0.3">
      <c r="A97" s="23" t="s">
        <v>113</v>
      </c>
      <c r="B97" s="23" t="s">
        <v>150</v>
      </c>
      <c r="C97" s="23">
        <v>1093</v>
      </c>
    </row>
    <row r="98" spans="1:3" ht="15.6" x14ac:dyDescent="0.3">
      <c r="A98" s="23" t="s">
        <v>151</v>
      </c>
      <c r="B98" s="23" t="s">
        <v>150</v>
      </c>
      <c r="C98" s="23">
        <v>1100</v>
      </c>
    </row>
    <row r="99" spans="1:3" ht="15.6" x14ac:dyDescent="0.3">
      <c r="A99" s="23" t="s">
        <v>113</v>
      </c>
      <c r="B99" s="23" t="s">
        <v>150</v>
      </c>
      <c r="C99" s="23">
        <v>1382</v>
      </c>
    </row>
    <row r="100" spans="1:3" ht="15.6" x14ac:dyDescent="0.3">
      <c r="A100" s="23" t="s">
        <v>93</v>
      </c>
      <c r="B100" s="23" t="s">
        <v>150</v>
      </c>
      <c r="C100" s="23">
        <v>1385</v>
      </c>
    </row>
    <row r="101" spans="1:3" ht="15.6" x14ac:dyDescent="0.3">
      <c r="A101" s="23" t="s">
        <v>157</v>
      </c>
      <c r="B101" s="23" t="s">
        <v>128</v>
      </c>
      <c r="C101" s="23">
        <v>2002</v>
      </c>
    </row>
    <row r="102" spans="1:3" ht="15.6" x14ac:dyDescent="0.3">
      <c r="A102" s="23" t="s">
        <v>151</v>
      </c>
      <c r="B102" s="23" t="s">
        <v>150</v>
      </c>
      <c r="C102" s="23">
        <v>2011</v>
      </c>
    </row>
    <row r="103" spans="1:3" ht="15.6" x14ac:dyDescent="0.3">
      <c r="A103" s="23" t="s">
        <v>113</v>
      </c>
      <c r="B103" s="23" t="s">
        <v>128</v>
      </c>
      <c r="C103" s="23">
        <v>2025</v>
      </c>
    </row>
    <row r="104" spans="1:3" ht="15.6" x14ac:dyDescent="0.3">
      <c r="A104" s="23" t="s">
        <v>151</v>
      </c>
      <c r="B104" s="23" t="s">
        <v>150</v>
      </c>
      <c r="C104" s="23">
        <v>2031</v>
      </c>
    </row>
    <row r="105" spans="1:3" ht="15.6" x14ac:dyDescent="0.3">
      <c r="A105" s="23" t="s">
        <v>151</v>
      </c>
      <c r="B105" s="23" t="s">
        <v>112</v>
      </c>
      <c r="C105" s="23">
        <v>2043</v>
      </c>
    </row>
    <row r="106" spans="1:3" ht="15.6" x14ac:dyDescent="0.3">
      <c r="A106" s="23" t="s">
        <v>151</v>
      </c>
      <c r="B106" s="23" t="s">
        <v>112</v>
      </c>
      <c r="C106" s="23">
        <v>2048</v>
      </c>
    </row>
    <row r="107" spans="1:3" ht="15.6" x14ac:dyDescent="0.3">
      <c r="A107" s="23" t="s">
        <v>93</v>
      </c>
      <c r="B107" s="23" t="s">
        <v>112</v>
      </c>
      <c r="C107" s="23">
        <v>2065</v>
      </c>
    </row>
    <row r="108" spans="1:3" ht="15.6" x14ac:dyDescent="0.3">
      <c r="A108" s="23" t="s">
        <v>93</v>
      </c>
      <c r="B108" s="23" t="s">
        <v>128</v>
      </c>
      <c r="C108" s="23">
        <v>2067</v>
      </c>
    </row>
    <row r="109" spans="1:3" ht="15.6" x14ac:dyDescent="0.3">
      <c r="A109" s="23" t="s">
        <v>93</v>
      </c>
      <c r="B109" s="23" t="s">
        <v>112</v>
      </c>
      <c r="C109" s="23">
        <v>2076</v>
      </c>
    </row>
    <row r="110" spans="1:3" ht="15.6" x14ac:dyDescent="0.3">
      <c r="A110" s="23" t="s">
        <v>95</v>
      </c>
      <c r="B110" s="23" t="s">
        <v>112</v>
      </c>
      <c r="C110" s="23">
        <v>2076</v>
      </c>
    </row>
    <row r="111" spans="1:3" ht="15.6" x14ac:dyDescent="0.3">
      <c r="A111" s="23" t="s">
        <v>113</v>
      </c>
      <c r="B111" s="23" t="s">
        <v>150</v>
      </c>
      <c r="C111" s="23">
        <v>2094</v>
      </c>
    </row>
    <row r="112" spans="1:3" ht="15.6" x14ac:dyDescent="0.3">
      <c r="A112" s="23" t="s">
        <v>113</v>
      </c>
      <c r="B112" s="23" t="s">
        <v>112</v>
      </c>
      <c r="C112" s="23">
        <v>2098</v>
      </c>
    </row>
    <row r="113" spans="1:3" ht="15.6" x14ac:dyDescent="0.3">
      <c r="A113" s="23" t="s">
        <v>151</v>
      </c>
      <c r="B113" s="23" t="s">
        <v>150</v>
      </c>
      <c r="C113" s="23">
        <v>2776</v>
      </c>
    </row>
    <row r="114" spans="1:3" ht="15.6" x14ac:dyDescent="0.3">
      <c r="A114" s="23" t="s">
        <v>157</v>
      </c>
      <c r="B114" s="23" t="s">
        <v>150</v>
      </c>
      <c r="C114" s="23">
        <v>2792</v>
      </c>
    </row>
    <row r="115" spans="1:3" ht="15.6" x14ac:dyDescent="0.3">
      <c r="A115" s="23" t="s">
        <v>95</v>
      </c>
      <c r="B115" s="23" t="s">
        <v>150</v>
      </c>
      <c r="C115" s="23">
        <v>2799</v>
      </c>
    </row>
    <row r="116" spans="1:3" ht="15.6" x14ac:dyDescent="0.3">
      <c r="A116" s="23" t="s">
        <v>151</v>
      </c>
      <c r="B116" s="23" t="s">
        <v>150</v>
      </c>
      <c r="C116" s="23">
        <v>2805</v>
      </c>
    </row>
    <row r="117" spans="1:3" ht="15.6" x14ac:dyDescent="0.3">
      <c r="A117" s="23" t="s">
        <v>157</v>
      </c>
      <c r="B117" s="23" t="s">
        <v>150</v>
      </c>
      <c r="C117" s="23">
        <v>2825</v>
      </c>
    </row>
    <row r="118" spans="1:3" ht="15.6" x14ac:dyDescent="0.3">
      <c r="A118" s="23" t="s">
        <v>151</v>
      </c>
      <c r="B118" s="23" t="s">
        <v>152</v>
      </c>
      <c r="C118" s="23">
        <v>2889</v>
      </c>
    </row>
    <row r="119" spans="1:3" ht="15.6" x14ac:dyDescent="0.3">
      <c r="A119" s="23" t="s">
        <v>95</v>
      </c>
      <c r="B119" s="23" t="s">
        <v>152</v>
      </c>
      <c r="C119" s="23">
        <v>2898</v>
      </c>
    </row>
    <row r="120" spans="1:3" ht="15.6" x14ac:dyDescent="0.3">
      <c r="A120" s="23" t="s">
        <v>93</v>
      </c>
      <c r="B120" s="23" t="s">
        <v>152</v>
      </c>
      <c r="C120" s="23">
        <v>2928</v>
      </c>
    </row>
    <row r="121" spans="1:3" ht="15.6" x14ac:dyDescent="0.3">
      <c r="A121" s="23" t="s">
        <v>113</v>
      </c>
      <c r="B121" s="23" t="s">
        <v>152</v>
      </c>
      <c r="C121" s="23">
        <v>2951</v>
      </c>
    </row>
    <row r="122" spans="1:3" ht="15.6" x14ac:dyDescent="0.3">
      <c r="A122" s="23" t="s">
        <v>157</v>
      </c>
      <c r="B122" s="23" t="s">
        <v>152</v>
      </c>
      <c r="C122" s="23">
        <v>2961</v>
      </c>
    </row>
    <row r="123" spans="1:3" ht="15.6" x14ac:dyDescent="0.3">
      <c r="A123" s="23" t="s">
        <v>157</v>
      </c>
      <c r="B123" s="23" t="s">
        <v>150</v>
      </c>
      <c r="C123" s="23">
        <v>3019</v>
      </c>
    </row>
    <row r="124" spans="1:3" ht="15.6" x14ac:dyDescent="0.3">
      <c r="A124" s="23" t="s">
        <v>93</v>
      </c>
      <c r="B124" s="23" t="s">
        <v>150</v>
      </c>
      <c r="C124" s="23">
        <v>3049</v>
      </c>
    </row>
    <row r="125" spans="1:3" ht="15.6" x14ac:dyDescent="0.3">
      <c r="A125" s="23" t="s">
        <v>95</v>
      </c>
      <c r="B125" s="23" t="s">
        <v>150</v>
      </c>
      <c r="C125" s="23">
        <v>3051</v>
      </c>
    </row>
    <row r="126" spans="1:3" ht="15.6" x14ac:dyDescent="0.3">
      <c r="A126" s="23" t="s">
        <v>95</v>
      </c>
      <c r="B126" s="23" t="s">
        <v>150</v>
      </c>
      <c r="C126" s="23">
        <v>3051</v>
      </c>
    </row>
    <row r="127" spans="1:3" ht="15.6" x14ac:dyDescent="0.3">
      <c r="A127" s="23" t="s">
        <v>93</v>
      </c>
      <c r="B127" s="23" t="s">
        <v>150</v>
      </c>
      <c r="C127" s="23">
        <v>3062</v>
      </c>
    </row>
    <row r="128" spans="1:3" ht="15.6" x14ac:dyDescent="0.3">
      <c r="A128" s="23" t="s">
        <v>151</v>
      </c>
      <c r="B128" s="23" t="s">
        <v>150</v>
      </c>
      <c r="C128" s="23">
        <v>3068</v>
      </c>
    </row>
    <row r="129" spans="1:3" ht="15.6" x14ac:dyDescent="0.3">
      <c r="A129" s="23" t="s">
        <v>95</v>
      </c>
      <c r="B129" s="23" t="s">
        <v>150</v>
      </c>
      <c r="C129" s="23">
        <v>3069</v>
      </c>
    </row>
    <row r="130" spans="1:3" ht="15.6" x14ac:dyDescent="0.3">
      <c r="A130" s="23" t="s">
        <v>157</v>
      </c>
      <c r="B130" s="23" t="s">
        <v>150</v>
      </c>
      <c r="C130" s="23">
        <v>3072</v>
      </c>
    </row>
    <row r="131" spans="1:3" ht="15.6" x14ac:dyDescent="0.3">
      <c r="A131" s="23" t="s">
        <v>92</v>
      </c>
      <c r="B131" s="23" t="s">
        <v>150</v>
      </c>
      <c r="C131" s="23">
        <v>3079</v>
      </c>
    </row>
    <row r="132" spans="1:3" ht="15.6" x14ac:dyDescent="0.3">
      <c r="A132" s="23" t="s">
        <v>113</v>
      </c>
      <c r="B132" s="23" t="s">
        <v>150</v>
      </c>
      <c r="C132" s="23">
        <v>3094</v>
      </c>
    </row>
    <row r="133" spans="1:3" ht="15.6" x14ac:dyDescent="0.3">
      <c r="A133" s="23" t="s">
        <v>93</v>
      </c>
      <c r="B133" s="23" t="s">
        <v>150</v>
      </c>
      <c r="C133" s="23">
        <v>3097</v>
      </c>
    </row>
    <row r="134" spans="1:3" ht="15.6" x14ac:dyDescent="0.3">
      <c r="A134" s="23" t="s">
        <v>157</v>
      </c>
      <c r="B134" s="23" t="s">
        <v>150</v>
      </c>
      <c r="C134" s="23">
        <v>3131</v>
      </c>
    </row>
    <row r="135" spans="1:3" ht="15.6" x14ac:dyDescent="0.3">
      <c r="A135" s="23" t="s">
        <v>151</v>
      </c>
      <c r="B135" s="23" t="s">
        <v>150</v>
      </c>
      <c r="C135" s="23">
        <v>3144</v>
      </c>
    </row>
    <row r="136" spans="1:3" ht="15.6" x14ac:dyDescent="0.3">
      <c r="A136" s="23" t="s">
        <v>95</v>
      </c>
      <c r="B136" s="23" t="s">
        <v>150</v>
      </c>
      <c r="C136" s="23">
        <v>3150</v>
      </c>
    </row>
    <row r="137" spans="1:3" ht="15.6" x14ac:dyDescent="0.3">
      <c r="A137" s="23" t="s">
        <v>95</v>
      </c>
      <c r="B137" s="23" t="s">
        <v>150</v>
      </c>
      <c r="C137" s="23">
        <v>3198</v>
      </c>
    </row>
    <row r="138" spans="1:3" ht="15.6" x14ac:dyDescent="0.3">
      <c r="A138" s="23" t="s">
        <v>151</v>
      </c>
      <c r="B138" s="23" t="s">
        <v>150</v>
      </c>
      <c r="C138" s="23">
        <v>3203</v>
      </c>
    </row>
    <row r="139" spans="1:3" ht="15.6" x14ac:dyDescent="0.3">
      <c r="A139" s="23" t="s">
        <v>157</v>
      </c>
      <c r="B139" s="23" t="s">
        <v>150</v>
      </c>
      <c r="C139" s="23">
        <v>3222</v>
      </c>
    </row>
    <row r="140" spans="1:3" ht="15.6" x14ac:dyDescent="0.3">
      <c r="A140" s="23" t="s">
        <v>157</v>
      </c>
      <c r="B140" s="23" t="s">
        <v>150</v>
      </c>
      <c r="C140" s="23">
        <v>3231</v>
      </c>
    </row>
    <row r="141" spans="1:3" ht="15.6" x14ac:dyDescent="0.3">
      <c r="A141" s="23" t="s">
        <v>93</v>
      </c>
      <c r="B141" s="23" t="s">
        <v>150</v>
      </c>
      <c r="C141" s="23">
        <v>3264</v>
      </c>
    </row>
    <row r="142" spans="1:3" ht="15.6" x14ac:dyDescent="0.3">
      <c r="A142" s="23" t="s">
        <v>157</v>
      </c>
      <c r="B142" s="23" t="s">
        <v>150</v>
      </c>
      <c r="C142" s="23">
        <v>3438</v>
      </c>
    </row>
    <row r="143" spans="1:3" ht="15.6" x14ac:dyDescent="0.3">
      <c r="A143" s="23" t="s">
        <v>157</v>
      </c>
      <c r="B143" s="23" t="s">
        <v>150</v>
      </c>
      <c r="C143" s="23">
        <v>3473</v>
      </c>
    </row>
    <row r="144" spans="1:3" ht="15.6" x14ac:dyDescent="0.3">
      <c r="A144" s="23" t="s">
        <v>93</v>
      </c>
      <c r="B144" s="23" t="s">
        <v>150</v>
      </c>
      <c r="C144" s="23">
        <v>3499</v>
      </c>
    </row>
    <row r="145" spans="1:3" ht="15.6" x14ac:dyDescent="0.3">
      <c r="A145" s="23" t="s">
        <v>151</v>
      </c>
      <c r="B145" s="23" t="s">
        <v>150</v>
      </c>
      <c r="C145" s="23">
        <v>3516</v>
      </c>
    </row>
    <row r="146" spans="1:3" ht="15.6" x14ac:dyDescent="0.3">
      <c r="A146" s="23" t="s">
        <v>93</v>
      </c>
      <c r="B146" s="23" t="s">
        <v>128</v>
      </c>
      <c r="C146" s="23">
        <v>3601</v>
      </c>
    </row>
    <row r="147" spans="1:3" ht="15.6" x14ac:dyDescent="0.3">
      <c r="A147" s="23" t="s">
        <v>95</v>
      </c>
      <c r="B147" s="23" t="s">
        <v>152</v>
      </c>
      <c r="C147" s="23">
        <v>3615</v>
      </c>
    </row>
    <row r="148" spans="1:3" ht="15.6" x14ac:dyDescent="0.3">
      <c r="A148" s="23" t="s">
        <v>93</v>
      </c>
      <c r="B148" s="23" t="s">
        <v>152</v>
      </c>
      <c r="C148" s="23">
        <v>3628</v>
      </c>
    </row>
    <row r="149" spans="1:3" ht="15.6" x14ac:dyDescent="0.3">
      <c r="A149" s="23" t="s">
        <v>94</v>
      </c>
      <c r="B149" s="23" t="s">
        <v>152</v>
      </c>
      <c r="C149" s="23">
        <v>3646</v>
      </c>
    </row>
    <row r="150" spans="1:3" ht="15.6" x14ac:dyDescent="0.3">
      <c r="A150" s="23" t="s">
        <v>94</v>
      </c>
      <c r="B150" s="23" t="s">
        <v>150</v>
      </c>
      <c r="C150" s="23">
        <v>3716</v>
      </c>
    </row>
    <row r="151" spans="1:3" ht="15.6" x14ac:dyDescent="0.3">
      <c r="A151" s="23" t="s">
        <v>151</v>
      </c>
      <c r="B151" s="23" t="s">
        <v>150</v>
      </c>
      <c r="C151" s="23">
        <v>3719</v>
      </c>
    </row>
    <row r="152" spans="1:3" ht="15.6" x14ac:dyDescent="0.3">
      <c r="A152" s="23" t="s">
        <v>93</v>
      </c>
      <c r="B152" s="23" t="s">
        <v>150</v>
      </c>
      <c r="C152" s="23">
        <v>3767</v>
      </c>
    </row>
    <row r="153" spans="1:3" ht="15.6" x14ac:dyDescent="0.3">
      <c r="A153" s="23" t="s">
        <v>93</v>
      </c>
      <c r="B153" s="23" t="s">
        <v>150</v>
      </c>
      <c r="C153" s="23">
        <v>3794</v>
      </c>
    </row>
    <row r="154" spans="1:3" ht="15.6" x14ac:dyDescent="0.3">
      <c r="A154" s="23" t="s">
        <v>151</v>
      </c>
      <c r="B154" s="23" t="s">
        <v>128</v>
      </c>
      <c r="C154" s="23">
        <v>3805</v>
      </c>
    </row>
    <row r="155" spans="1:3" ht="15.6" x14ac:dyDescent="0.3">
      <c r="A155" s="23" t="s">
        <v>93</v>
      </c>
      <c r="B155" s="23" t="s">
        <v>150</v>
      </c>
      <c r="C155" s="23">
        <v>3818</v>
      </c>
    </row>
    <row r="156" spans="1:3" ht="15.6" x14ac:dyDescent="0.3">
      <c r="A156" s="23" t="s">
        <v>93</v>
      </c>
      <c r="B156" s="23" t="s">
        <v>150</v>
      </c>
      <c r="C156" s="23">
        <v>3825</v>
      </c>
    </row>
    <row r="157" spans="1:3" ht="15.6" x14ac:dyDescent="0.3">
      <c r="A157" s="23" t="s">
        <v>93</v>
      </c>
      <c r="B157" s="23" t="s">
        <v>150</v>
      </c>
      <c r="C157" s="23">
        <v>3879</v>
      </c>
    </row>
    <row r="158" spans="1:3" ht="15.6" x14ac:dyDescent="0.3">
      <c r="A158" s="23" t="s">
        <v>157</v>
      </c>
      <c r="B158" s="23" t="s">
        <v>150</v>
      </c>
      <c r="C158" s="23">
        <v>3885</v>
      </c>
    </row>
    <row r="159" spans="1:3" ht="15.6" x14ac:dyDescent="0.3">
      <c r="A159" s="23" t="s">
        <v>113</v>
      </c>
      <c r="B159" s="23" t="s">
        <v>150</v>
      </c>
      <c r="C159" s="23">
        <v>3906</v>
      </c>
    </row>
    <row r="160" spans="1:3" ht="15.6" x14ac:dyDescent="0.3">
      <c r="A160" s="23" t="s">
        <v>157</v>
      </c>
      <c r="B160" s="23" t="s">
        <v>150</v>
      </c>
      <c r="C160" s="23">
        <v>3910</v>
      </c>
    </row>
    <row r="161" spans="1:3" ht="15.6" x14ac:dyDescent="0.3">
      <c r="A161" s="23" t="s">
        <v>95</v>
      </c>
      <c r="B161" s="23" t="s">
        <v>152</v>
      </c>
      <c r="C161" s="23">
        <v>3913</v>
      </c>
    </row>
    <row r="162" spans="1:3" ht="15.6" x14ac:dyDescent="0.3">
      <c r="A162" s="23" t="s">
        <v>157</v>
      </c>
      <c r="B162" s="23" t="s">
        <v>150</v>
      </c>
      <c r="C162" s="23">
        <v>3988</v>
      </c>
    </row>
    <row r="163" spans="1:3" ht="15.6" x14ac:dyDescent="0.3">
      <c r="A163" s="23" t="s">
        <v>92</v>
      </c>
      <c r="B163" s="23" t="s">
        <v>150</v>
      </c>
      <c r="C163" s="23">
        <v>4002</v>
      </c>
    </row>
    <row r="164" spans="1:3" ht="15.6" x14ac:dyDescent="0.3">
      <c r="A164" s="23" t="s">
        <v>157</v>
      </c>
      <c r="B164" s="23" t="s">
        <v>150</v>
      </c>
      <c r="C164" s="23">
        <v>4006</v>
      </c>
    </row>
    <row r="165" spans="1:3" ht="15.6" x14ac:dyDescent="0.3">
      <c r="A165" s="23" t="s">
        <v>151</v>
      </c>
      <c r="B165" s="23" t="s">
        <v>150</v>
      </c>
      <c r="C165" s="23">
        <v>4009</v>
      </c>
    </row>
    <row r="166" spans="1:3" ht="15.6" x14ac:dyDescent="0.3">
      <c r="A166" s="23" t="s">
        <v>92</v>
      </c>
      <c r="B166" s="23" t="s">
        <v>150</v>
      </c>
      <c r="C166" s="23">
        <v>4011</v>
      </c>
    </row>
    <row r="167" spans="1:3" ht="15.6" x14ac:dyDescent="0.3">
      <c r="A167" s="23" t="s">
        <v>157</v>
      </c>
      <c r="B167" s="23" t="s">
        <v>152</v>
      </c>
      <c r="C167" s="23">
        <v>4013</v>
      </c>
    </row>
    <row r="168" spans="1:3" ht="15.6" x14ac:dyDescent="0.3">
      <c r="A168" s="23" t="s">
        <v>94</v>
      </c>
      <c r="B168" s="23" t="s">
        <v>150</v>
      </c>
      <c r="C168" s="23">
        <v>4019</v>
      </c>
    </row>
    <row r="169" spans="1:3" ht="15.6" x14ac:dyDescent="0.3">
      <c r="A169" s="23" t="s">
        <v>92</v>
      </c>
      <c r="B169" s="23" t="s">
        <v>150</v>
      </c>
      <c r="C169" s="23">
        <v>4025</v>
      </c>
    </row>
    <row r="170" spans="1:3" ht="15.6" x14ac:dyDescent="0.3">
      <c r="A170" s="23" t="s">
        <v>95</v>
      </c>
      <c r="B170" s="23" t="s">
        <v>150</v>
      </c>
      <c r="C170" s="23">
        <v>4025</v>
      </c>
    </row>
    <row r="171" spans="1:3" ht="15.6" x14ac:dyDescent="0.3">
      <c r="A171" s="23" t="s">
        <v>151</v>
      </c>
      <c r="B171" s="23" t="s">
        <v>150</v>
      </c>
      <c r="C171" s="23">
        <v>4026</v>
      </c>
    </row>
    <row r="172" spans="1:3" ht="15.6" x14ac:dyDescent="0.3">
      <c r="A172" s="23" t="s">
        <v>94</v>
      </c>
      <c r="B172" s="23" t="s">
        <v>150</v>
      </c>
      <c r="C172" s="23">
        <v>4028</v>
      </c>
    </row>
    <row r="173" spans="1:3" ht="15.6" x14ac:dyDescent="0.3">
      <c r="A173" s="23" t="s">
        <v>113</v>
      </c>
      <c r="B173" s="23" t="s">
        <v>150</v>
      </c>
      <c r="C173" s="23">
        <v>4031</v>
      </c>
    </row>
    <row r="174" spans="1:3" ht="15.6" x14ac:dyDescent="0.3">
      <c r="A174" s="23" t="s">
        <v>94</v>
      </c>
      <c r="B174" s="23" t="s">
        <v>150</v>
      </c>
      <c r="C174" s="23">
        <v>4034</v>
      </c>
    </row>
    <row r="175" spans="1:3" ht="15.6" x14ac:dyDescent="0.3">
      <c r="A175" s="23" t="s">
        <v>93</v>
      </c>
      <c r="B175" s="23" t="s">
        <v>152</v>
      </c>
      <c r="C175" s="23">
        <v>4036</v>
      </c>
    </row>
    <row r="176" spans="1:3" ht="15.6" x14ac:dyDescent="0.3">
      <c r="A176" s="23" t="s">
        <v>93</v>
      </c>
      <c r="B176" s="23" t="s">
        <v>152</v>
      </c>
      <c r="C176" s="23">
        <v>4036</v>
      </c>
    </row>
    <row r="177" spans="1:3" ht="15.6" x14ac:dyDescent="0.3">
      <c r="A177" s="23" t="s">
        <v>157</v>
      </c>
      <c r="B177" s="23" t="s">
        <v>150</v>
      </c>
      <c r="C177" s="23">
        <v>4042</v>
      </c>
    </row>
    <row r="178" spans="1:3" ht="15.6" x14ac:dyDescent="0.3">
      <c r="A178" s="23" t="s">
        <v>113</v>
      </c>
      <c r="B178" s="23" t="s">
        <v>152</v>
      </c>
      <c r="C178" s="23">
        <v>4047</v>
      </c>
    </row>
    <row r="179" spans="1:3" ht="15.6" x14ac:dyDescent="0.3">
      <c r="A179" s="23" t="s">
        <v>157</v>
      </c>
      <c r="B179" s="23" t="s">
        <v>150</v>
      </c>
      <c r="C179" s="23">
        <v>4049</v>
      </c>
    </row>
    <row r="180" spans="1:3" ht="15.6" x14ac:dyDescent="0.3">
      <c r="A180" s="23" t="s">
        <v>113</v>
      </c>
      <c r="B180" s="23" t="s">
        <v>128</v>
      </c>
      <c r="C180" s="23">
        <v>4049</v>
      </c>
    </row>
    <row r="181" spans="1:3" ht="15.6" x14ac:dyDescent="0.3">
      <c r="A181" s="23" t="s">
        <v>93</v>
      </c>
      <c r="B181" s="23" t="s">
        <v>152</v>
      </c>
      <c r="C181" s="23">
        <v>4050</v>
      </c>
    </row>
    <row r="182" spans="1:3" ht="15.6" x14ac:dyDescent="0.3">
      <c r="A182" s="23" t="s">
        <v>92</v>
      </c>
      <c r="B182" s="23" t="s">
        <v>150</v>
      </c>
      <c r="C182" s="23">
        <v>4056</v>
      </c>
    </row>
    <row r="183" spans="1:3" ht="15.6" x14ac:dyDescent="0.3">
      <c r="A183" s="23" t="s">
        <v>113</v>
      </c>
      <c r="B183" s="23" t="s">
        <v>152</v>
      </c>
      <c r="C183" s="23">
        <v>4059</v>
      </c>
    </row>
    <row r="184" spans="1:3" ht="15.6" x14ac:dyDescent="0.3">
      <c r="A184" s="23" t="s">
        <v>151</v>
      </c>
      <c r="B184" s="23" t="s">
        <v>152</v>
      </c>
      <c r="C184" s="23">
        <v>4061</v>
      </c>
    </row>
    <row r="185" spans="1:3" ht="15.6" x14ac:dyDescent="0.3">
      <c r="A185" s="23" t="s">
        <v>93</v>
      </c>
      <c r="B185" s="23" t="s">
        <v>150</v>
      </c>
      <c r="C185" s="23">
        <v>4065</v>
      </c>
    </row>
    <row r="186" spans="1:3" ht="15.6" x14ac:dyDescent="0.3">
      <c r="A186" s="23" t="s">
        <v>157</v>
      </c>
      <c r="B186" s="23" t="s">
        <v>150</v>
      </c>
      <c r="C186" s="23">
        <v>4067</v>
      </c>
    </row>
    <row r="187" spans="1:3" ht="15.6" x14ac:dyDescent="0.3">
      <c r="A187" s="23" t="s">
        <v>151</v>
      </c>
      <c r="B187" s="23" t="s">
        <v>152</v>
      </c>
      <c r="C187" s="23">
        <v>4068</v>
      </c>
    </row>
    <row r="188" spans="1:3" ht="15.6" x14ac:dyDescent="0.3">
      <c r="A188" s="23" t="s">
        <v>113</v>
      </c>
      <c r="B188" s="23" t="s">
        <v>150</v>
      </c>
      <c r="C188" s="23">
        <v>4073</v>
      </c>
    </row>
    <row r="189" spans="1:3" ht="15.6" x14ac:dyDescent="0.3">
      <c r="A189" s="23" t="s">
        <v>93</v>
      </c>
      <c r="B189" s="23" t="s">
        <v>150</v>
      </c>
      <c r="C189" s="23">
        <v>4076</v>
      </c>
    </row>
    <row r="190" spans="1:3" ht="15.6" x14ac:dyDescent="0.3">
      <c r="A190" s="23" t="s">
        <v>157</v>
      </c>
      <c r="B190" s="23" t="s">
        <v>150</v>
      </c>
      <c r="C190" s="23">
        <v>4077</v>
      </c>
    </row>
    <row r="191" spans="1:3" ht="15.6" x14ac:dyDescent="0.3">
      <c r="A191" s="23" t="s">
        <v>93</v>
      </c>
      <c r="B191" s="23" t="s">
        <v>150</v>
      </c>
      <c r="C191" s="23">
        <v>4077</v>
      </c>
    </row>
    <row r="192" spans="1:3" ht="15.6" x14ac:dyDescent="0.3">
      <c r="A192" s="23" t="s">
        <v>157</v>
      </c>
      <c r="B192" s="23" t="s">
        <v>150</v>
      </c>
      <c r="C192" s="23">
        <v>4082</v>
      </c>
    </row>
    <row r="193" spans="1:3" ht="15.6" x14ac:dyDescent="0.3">
      <c r="A193" s="23" t="s">
        <v>93</v>
      </c>
      <c r="B193" s="23" t="s">
        <v>152</v>
      </c>
      <c r="C193" s="23">
        <v>4082</v>
      </c>
    </row>
    <row r="194" spans="1:3" ht="15.6" x14ac:dyDescent="0.3">
      <c r="A194" s="23" t="s">
        <v>93</v>
      </c>
      <c r="B194" s="23" t="s">
        <v>150</v>
      </c>
      <c r="C194" s="23">
        <v>4086</v>
      </c>
    </row>
    <row r="195" spans="1:3" ht="15.6" x14ac:dyDescent="0.3">
      <c r="A195" s="23" t="s">
        <v>93</v>
      </c>
      <c r="B195" s="23" t="s">
        <v>150</v>
      </c>
      <c r="C195" s="23">
        <v>4086</v>
      </c>
    </row>
    <row r="196" spans="1:3" ht="15.6" x14ac:dyDescent="0.3">
      <c r="A196" s="23" t="s">
        <v>94</v>
      </c>
      <c r="B196" s="23" t="s">
        <v>150</v>
      </c>
      <c r="C196" s="23">
        <v>4087</v>
      </c>
    </row>
    <row r="197" spans="1:3" ht="15.6" x14ac:dyDescent="0.3">
      <c r="A197" s="23" t="s">
        <v>95</v>
      </c>
      <c r="B197" s="23" t="s">
        <v>150</v>
      </c>
      <c r="C197" s="23">
        <v>4087</v>
      </c>
    </row>
    <row r="198" spans="1:3" ht="15.6" x14ac:dyDescent="0.3">
      <c r="A198" s="23" t="s">
        <v>93</v>
      </c>
      <c r="B198" s="23" t="s">
        <v>150</v>
      </c>
      <c r="C198" s="23">
        <v>4090</v>
      </c>
    </row>
    <row r="199" spans="1:3" ht="15.6" x14ac:dyDescent="0.3">
      <c r="A199" s="23" t="s">
        <v>93</v>
      </c>
      <c r="B199" s="23" t="s">
        <v>152</v>
      </c>
      <c r="C199" s="23">
        <v>4096</v>
      </c>
    </row>
    <row r="200" spans="1:3" ht="15.6" x14ac:dyDescent="0.3">
      <c r="A200" s="23" t="s">
        <v>95</v>
      </c>
      <c r="B200" s="23" t="s">
        <v>150</v>
      </c>
      <c r="C200" s="23">
        <v>4096</v>
      </c>
    </row>
    <row r="201" spans="1:3" ht="15.6" x14ac:dyDescent="0.3">
      <c r="A201" s="23" t="s">
        <v>157</v>
      </c>
      <c r="B201" s="23" t="s">
        <v>150</v>
      </c>
      <c r="C201" s="23">
        <v>4098</v>
      </c>
    </row>
    <row r="202" spans="1:3" ht="15.6" x14ac:dyDescent="0.3">
      <c r="A202" s="23" t="s">
        <v>113</v>
      </c>
      <c r="B202" s="23" t="s">
        <v>152</v>
      </c>
      <c r="C202" s="23">
        <v>4117</v>
      </c>
    </row>
    <row r="203" spans="1:3" ht="15.6" x14ac:dyDescent="0.3">
      <c r="A203" s="23" t="s">
        <v>93</v>
      </c>
      <c r="B203" s="23" t="s">
        <v>128</v>
      </c>
      <c r="C203" s="23">
        <v>4246</v>
      </c>
    </row>
    <row r="204" spans="1:3" ht="15.6" x14ac:dyDescent="0.3">
      <c r="A204" s="23" t="s">
        <v>94</v>
      </c>
      <c r="B204" s="23" t="s">
        <v>128</v>
      </c>
      <c r="C204" s="23">
        <v>4274</v>
      </c>
    </row>
    <row r="205" spans="1:3" ht="15.6" x14ac:dyDescent="0.3">
      <c r="A205" s="23" t="s">
        <v>95</v>
      </c>
      <c r="B205" s="23" t="s">
        <v>150</v>
      </c>
      <c r="C205" s="23">
        <v>4277</v>
      </c>
    </row>
    <row r="206" spans="1:3" ht="15.6" x14ac:dyDescent="0.3">
      <c r="A206" s="23" t="s">
        <v>157</v>
      </c>
      <c r="B206" s="23" t="s">
        <v>152</v>
      </c>
      <c r="C206" s="23">
        <v>4291</v>
      </c>
    </row>
    <row r="207" spans="1:3" ht="15.6" x14ac:dyDescent="0.3">
      <c r="A207" s="23" t="s">
        <v>93</v>
      </c>
      <c r="B207" s="23" t="s">
        <v>150</v>
      </c>
      <c r="C207" s="23">
        <v>4306</v>
      </c>
    </row>
    <row r="208" spans="1:3" ht="15.6" x14ac:dyDescent="0.3">
      <c r="A208" s="23" t="s">
        <v>157</v>
      </c>
      <c r="B208" s="23" t="s">
        <v>128</v>
      </c>
      <c r="C208" s="23">
        <v>4339</v>
      </c>
    </row>
    <row r="209" spans="1:3" ht="15.6" x14ac:dyDescent="0.3">
      <c r="A209" s="23" t="s">
        <v>157</v>
      </c>
      <c r="B209" s="23" t="s">
        <v>128</v>
      </c>
      <c r="C209" s="23">
        <v>4391</v>
      </c>
    </row>
    <row r="210" spans="1:3" ht="15.6" x14ac:dyDescent="0.3">
      <c r="A210" s="23" t="s">
        <v>157</v>
      </c>
      <c r="B210" s="23" t="s">
        <v>128</v>
      </c>
      <c r="C210" s="23">
        <v>4397</v>
      </c>
    </row>
    <row r="211" spans="1:3" ht="15.6" x14ac:dyDescent="0.3">
      <c r="A211" s="23" t="s">
        <v>93</v>
      </c>
      <c r="B211" s="23" t="s">
        <v>128</v>
      </c>
      <c r="C211" s="23">
        <v>4397</v>
      </c>
    </row>
    <row r="212" spans="1:3" ht="15.6" x14ac:dyDescent="0.3">
      <c r="A212" s="23" t="s">
        <v>151</v>
      </c>
      <c r="B212" s="23" t="s">
        <v>152</v>
      </c>
      <c r="C212" s="23">
        <v>4404</v>
      </c>
    </row>
    <row r="213" spans="1:3" ht="15.6" x14ac:dyDescent="0.3">
      <c r="A213" s="23" t="s">
        <v>113</v>
      </c>
      <c r="B213" s="23" t="s">
        <v>152</v>
      </c>
      <c r="C213" s="23">
        <v>4410</v>
      </c>
    </row>
    <row r="214" spans="1:3" ht="15.6" x14ac:dyDescent="0.3">
      <c r="A214" s="23" t="s">
        <v>157</v>
      </c>
      <c r="B214" s="23" t="s">
        <v>152</v>
      </c>
      <c r="C214" s="23">
        <v>4436</v>
      </c>
    </row>
    <row r="215" spans="1:3" ht="15.6" x14ac:dyDescent="0.3">
      <c r="A215" s="23" t="s">
        <v>93</v>
      </c>
      <c r="B215" s="23" t="s">
        <v>150</v>
      </c>
      <c r="C215" s="23">
        <v>4449</v>
      </c>
    </row>
    <row r="216" spans="1:3" ht="15.6" x14ac:dyDescent="0.3">
      <c r="A216" s="23" t="s">
        <v>157</v>
      </c>
      <c r="B216" s="23" t="s">
        <v>150</v>
      </c>
      <c r="C216" s="23">
        <v>4546</v>
      </c>
    </row>
    <row r="217" spans="1:3" ht="15.6" x14ac:dyDescent="0.3">
      <c r="A217" s="23" t="s">
        <v>151</v>
      </c>
      <c r="B217" s="23" t="s">
        <v>150</v>
      </c>
      <c r="C217" s="23">
        <v>4562</v>
      </c>
    </row>
    <row r="218" spans="1:3" ht="15.6" x14ac:dyDescent="0.3">
      <c r="A218" s="23" t="s">
        <v>93</v>
      </c>
      <c r="B218" s="23" t="s">
        <v>150</v>
      </c>
      <c r="C218" s="23">
        <v>4567</v>
      </c>
    </row>
    <row r="219" spans="1:3" ht="15.6" x14ac:dyDescent="0.3">
      <c r="A219" s="23" t="s">
        <v>157</v>
      </c>
      <c r="B219" s="23" t="s">
        <v>150</v>
      </c>
      <c r="C219" s="23">
        <v>4572</v>
      </c>
    </row>
    <row r="220" spans="1:3" ht="15.6" x14ac:dyDescent="0.3">
      <c r="A220" s="23" t="s">
        <v>93</v>
      </c>
      <c r="B220" s="23" t="s">
        <v>128</v>
      </c>
      <c r="C220" s="23">
        <v>4574</v>
      </c>
    </row>
    <row r="221" spans="1:3" ht="15.6" x14ac:dyDescent="0.3">
      <c r="A221" s="23" t="s">
        <v>157</v>
      </c>
      <c r="B221" s="23" t="s">
        <v>150</v>
      </c>
      <c r="C221" s="23">
        <v>4579</v>
      </c>
    </row>
    <row r="222" spans="1:3" ht="15.6" x14ac:dyDescent="0.3">
      <c r="A222" s="23" t="s">
        <v>157</v>
      </c>
      <c r="B222" s="23" t="s">
        <v>150</v>
      </c>
      <c r="C222" s="23">
        <v>4592</v>
      </c>
    </row>
    <row r="223" spans="1:3" ht="15.6" x14ac:dyDescent="0.3">
      <c r="A223" s="23" t="s">
        <v>95</v>
      </c>
      <c r="B223" s="23" t="s">
        <v>128</v>
      </c>
      <c r="C223" s="23">
        <v>4616</v>
      </c>
    </row>
    <row r="224" spans="1:3" ht="15.6" x14ac:dyDescent="0.3">
      <c r="A224" s="23" t="s">
        <v>113</v>
      </c>
      <c r="B224" s="23" t="s">
        <v>150</v>
      </c>
      <c r="C224" s="23">
        <v>4622</v>
      </c>
    </row>
    <row r="225" spans="1:3" ht="15.6" x14ac:dyDescent="0.3">
      <c r="A225" s="23" t="s">
        <v>93</v>
      </c>
      <c r="B225" s="23" t="s">
        <v>150</v>
      </c>
      <c r="C225" s="23">
        <v>4660</v>
      </c>
    </row>
    <row r="226" spans="1:3" ht="15.6" x14ac:dyDescent="0.3">
      <c r="A226" s="23" t="s">
        <v>151</v>
      </c>
      <c r="B226" s="23" t="s">
        <v>150</v>
      </c>
      <c r="C226" s="23">
        <v>4679</v>
      </c>
    </row>
    <row r="227" spans="1:3" ht="15.6" x14ac:dyDescent="0.3">
      <c r="A227" s="23" t="s">
        <v>93</v>
      </c>
      <c r="B227" s="23" t="s">
        <v>152</v>
      </c>
      <c r="C227" s="23">
        <v>4696</v>
      </c>
    </row>
    <row r="228" spans="1:3" ht="15.6" x14ac:dyDescent="0.3">
      <c r="A228" s="23" t="s">
        <v>92</v>
      </c>
      <c r="B228" s="23" t="s">
        <v>152</v>
      </c>
      <c r="C228" s="23">
        <v>4697</v>
      </c>
    </row>
    <row r="229" spans="1:3" ht="15.6" x14ac:dyDescent="0.3">
      <c r="A229" s="23" t="s">
        <v>95</v>
      </c>
      <c r="B229" s="23" t="s">
        <v>152</v>
      </c>
      <c r="C229" s="23">
        <v>4697</v>
      </c>
    </row>
    <row r="230" spans="1:3" ht="15.6" x14ac:dyDescent="0.3">
      <c r="A230" s="23" t="s">
        <v>92</v>
      </c>
      <c r="B230" s="23" t="s">
        <v>128</v>
      </c>
      <c r="C230" s="23">
        <v>4709</v>
      </c>
    </row>
    <row r="231" spans="1:3" ht="15.6" x14ac:dyDescent="0.3">
      <c r="A231" s="23" t="s">
        <v>157</v>
      </c>
      <c r="B231" s="23" t="s">
        <v>150</v>
      </c>
      <c r="C231" s="23">
        <v>4735</v>
      </c>
    </row>
    <row r="232" spans="1:3" ht="15.6" x14ac:dyDescent="0.3">
      <c r="A232" s="23" t="s">
        <v>93</v>
      </c>
      <c r="B232" s="23" t="s">
        <v>150</v>
      </c>
      <c r="C232" s="23">
        <v>4749</v>
      </c>
    </row>
    <row r="233" spans="1:3" ht="15.6" x14ac:dyDescent="0.3">
      <c r="A233" s="23" t="s">
        <v>151</v>
      </c>
      <c r="B233" s="23" t="s">
        <v>128</v>
      </c>
      <c r="C233" s="23">
        <v>4768</v>
      </c>
    </row>
    <row r="234" spans="1:3" ht="15.6" x14ac:dyDescent="0.3">
      <c r="A234" s="23" t="s">
        <v>95</v>
      </c>
      <c r="B234" s="23" t="s">
        <v>150</v>
      </c>
      <c r="C234" s="23">
        <v>4815</v>
      </c>
    </row>
    <row r="235" spans="1:3" ht="15.6" x14ac:dyDescent="0.3">
      <c r="A235" s="23" t="s">
        <v>93</v>
      </c>
      <c r="B235" s="23" t="s">
        <v>152</v>
      </c>
      <c r="C235" s="23">
        <v>4843</v>
      </c>
    </row>
    <row r="236" spans="1:3" ht="15.6" x14ac:dyDescent="0.3">
      <c r="A236" s="23" t="s">
        <v>93</v>
      </c>
      <c r="B236" s="23" t="s">
        <v>150</v>
      </c>
      <c r="C236" s="23">
        <v>4852</v>
      </c>
    </row>
    <row r="237" spans="1:3" ht="15.6" x14ac:dyDescent="0.3">
      <c r="A237" s="23" t="s">
        <v>113</v>
      </c>
      <c r="B237" s="23" t="s">
        <v>150</v>
      </c>
      <c r="C237" s="23">
        <v>4870</v>
      </c>
    </row>
    <row r="238" spans="1:3" ht="15.6" x14ac:dyDescent="0.3">
      <c r="A238" s="23" t="s">
        <v>113</v>
      </c>
      <c r="B238" s="23" t="s">
        <v>128</v>
      </c>
      <c r="C238" s="23">
        <v>4896</v>
      </c>
    </row>
    <row r="239" spans="1:3" ht="15.6" x14ac:dyDescent="0.3">
      <c r="A239" s="23" t="s">
        <v>95</v>
      </c>
      <c r="B239" s="23" t="s">
        <v>152</v>
      </c>
      <c r="C239" s="23">
        <v>4943</v>
      </c>
    </row>
    <row r="240" spans="1:3" ht="15.6" x14ac:dyDescent="0.3">
      <c r="A240" s="23" t="s">
        <v>113</v>
      </c>
      <c r="B240" s="23" t="s">
        <v>150</v>
      </c>
      <c r="C240" s="23">
        <v>5000</v>
      </c>
    </row>
    <row r="241" spans="1:3" ht="15.6" x14ac:dyDescent="0.3">
      <c r="A241" s="23" t="s">
        <v>113</v>
      </c>
      <c r="B241" s="23" t="s">
        <v>152</v>
      </c>
      <c r="C241" s="23">
        <v>5004</v>
      </c>
    </row>
    <row r="242" spans="1:3" ht="15.6" x14ac:dyDescent="0.3">
      <c r="A242" s="23" t="s">
        <v>95</v>
      </c>
      <c r="B242" s="23" t="s">
        <v>152</v>
      </c>
      <c r="C242" s="23">
        <v>5006</v>
      </c>
    </row>
    <row r="243" spans="1:3" ht="15.6" x14ac:dyDescent="0.3">
      <c r="A243" s="23" t="s">
        <v>151</v>
      </c>
      <c r="B243" s="23" t="s">
        <v>128</v>
      </c>
      <c r="C243" s="23">
        <v>5008</v>
      </c>
    </row>
    <row r="244" spans="1:3" ht="15.6" x14ac:dyDescent="0.3">
      <c r="A244" s="23" t="s">
        <v>93</v>
      </c>
      <c r="B244" s="23" t="s">
        <v>152</v>
      </c>
      <c r="C244" s="23">
        <v>5021</v>
      </c>
    </row>
    <row r="245" spans="1:3" ht="15.6" x14ac:dyDescent="0.3">
      <c r="A245" s="23" t="s">
        <v>93</v>
      </c>
      <c r="B245" s="23" t="s">
        <v>152</v>
      </c>
      <c r="C245" s="23">
        <v>5021</v>
      </c>
    </row>
    <row r="246" spans="1:3" ht="15.6" x14ac:dyDescent="0.3">
      <c r="A246" s="23" t="s">
        <v>93</v>
      </c>
      <c r="B246" s="23" t="s">
        <v>128</v>
      </c>
      <c r="C246" s="23">
        <v>5022</v>
      </c>
    </row>
    <row r="247" spans="1:3" ht="15.6" x14ac:dyDescent="0.3">
      <c r="A247" s="23" t="s">
        <v>157</v>
      </c>
      <c r="B247" s="23" t="s">
        <v>150</v>
      </c>
      <c r="C247" s="23">
        <v>5031</v>
      </c>
    </row>
    <row r="248" spans="1:3" ht="15.6" x14ac:dyDescent="0.3">
      <c r="A248" s="23" t="s">
        <v>95</v>
      </c>
      <c r="B248" s="23" t="s">
        <v>150</v>
      </c>
      <c r="C248" s="23">
        <v>5040</v>
      </c>
    </row>
    <row r="249" spans="1:3" ht="15.6" x14ac:dyDescent="0.3">
      <c r="A249" s="23" t="s">
        <v>95</v>
      </c>
      <c r="B249" s="23" t="s">
        <v>152</v>
      </c>
      <c r="C249" s="23">
        <v>5050</v>
      </c>
    </row>
    <row r="250" spans="1:3" ht="15.6" x14ac:dyDescent="0.3">
      <c r="A250" s="23" t="s">
        <v>157</v>
      </c>
      <c r="B250" s="23" t="s">
        <v>152</v>
      </c>
      <c r="C250" s="23">
        <v>5055</v>
      </c>
    </row>
    <row r="251" spans="1:3" ht="15.6" x14ac:dyDescent="0.3">
      <c r="A251" s="23" t="s">
        <v>93</v>
      </c>
      <c r="B251" s="23" t="s">
        <v>150</v>
      </c>
      <c r="C251" s="23">
        <v>5064</v>
      </c>
    </row>
    <row r="252" spans="1:3" ht="15.6" x14ac:dyDescent="0.3">
      <c r="A252" s="23" t="s">
        <v>157</v>
      </c>
      <c r="B252" s="23" t="s">
        <v>128</v>
      </c>
      <c r="C252" s="23">
        <v>5068</v>
      </c>
    </row>
    <row r="253" spans="1:3" ht="15.6" x14ac:dyDescent="0.3">
      <c r="A253" s="23" t="s">
        <v>95</v>
      </c>
      <c r="B253" s="23" t="s">
        <v>152</v>
      </c>
      <c r="C253" s="23">
        <v>5069</v>
      </c>
    </row>
    <row r="254" spans="1:3" ht="15.6" x14ac:dyDescent="0.3">
      <c r="A254" s="23" t="s">
        <v>93</v>
      </c>
      <c r="B254" s="23" t="s">
        <v>152</v>
      </c>
      <c r="C254" s="23">
        <v>5072</v>
      </c>
    </row>
    <row r="255" spans="1:3" ht="15.6" x14ac:dyDescent="0.3">
      <c r="A255" s="23" t="s">
        <v>113</v>
      </c>
      <c r="B255" s="23" t="s">
        <v>150</v>
      </c>
      <c r="C255" s="23">
        <v>5073</v>
      </c>
    </row>
    <row r="256" spans="1:3" ht="15.6" x14ac:dyDescent="0.3">
      <c r="A256" s="23" t="s">
        <v>95</v>
      </c>
      <c r="B256" s="23" t="s">
        <v>152</v>
      </c>
      <c r="C256" s="23">
        <v>5080</v>
      </c>
    </row>
    <row r="257" spans="1:3" ht="15.6" x14ac:dyDescent="0.3">
      <c r="A257" s="23" t="s">
        <v>95</v>
      </c>
      <c r="B257" s="23" t="s">
        <v>128</v>
      </c>
      <c r="C257" s="23">
        <v>5082</v>
      </c>
    </row>
    <row r="258" spans="1:3" ht="15.6" x14ac:dyDescent="0.3">
      <c r="A258" s="23" t="s">
        <v>113</v>
      </c>
      <c r="B258" s="23" t="s">
        <v>150</v>
      </c>
      <c r="C258" s="23">
        <v>5086</v>
      </c>
    </row>
    <row r="259" spans="1:3" ht="15.6" x14ac:dyDescent="0.3">
      <c r="A259" s="23" t="s">
        <v>95</v>
      </c>
      <c r="B259" s="23" t="s">
        <v>112</v>
      </c>
      <c r="C259" s="23">
        <v>5087</v>
      </c>
    </row>
    <row r="260" spans="1:3" ht="15.6" x14ac:dyDescent="0.3">
      <c r="A260" s="23" t="s">
        <v>93</v>
      </c>
      <c r="B260" s="23" t="s">
        <v>150</v>
      </c>
      <c r="C260" s="23">
        <v>5088</v>
      </c>
    </row>
    <row r="261" spans="1:3" ht="15.6" x14ac:dyDescent="0.3">
      <c r="A261" s="23" t="s">
        <v>92</v>
      </c>
      <c r="B261" s="23" t="s">
        <v>152</v>
      </c>
      <c r="C261" s="23">
        <v>5090</v>
      </c>
    </row>
    <row r="262" spans="1:3" ht="15.6" x14ac:dyDescent="0.3">
      <c r="A262" s="23" t="s">
        <v>93</v>
      </c>
      <c r="B262" s="23" t="s">
        <v>128</v>
      </c>
      <c r="C262" s="23">
        <v>5099</v>
      </c>
    </row>
    <row r="263" spans="1:3" ht="15.6" x14ac:dyDescent="0.3">
      <c r="A263" s="23" t="s">
        <v>157</v>
      </c>
      <c r="B263" s="23" t="s">
        <v>128</v>
      </c>
      <c r="C263" s="23">
        <v>5121</v>
      </c>
    </row>
    <row r="264" spans="1:3" ht="15.6" x14ac:dyDescent="0.3">
      <c r="A264" s="23" t="s">
        <v>93</v>
      </c>
      <c r="B264" s="23" t="s">
        <v>152</v>
      </c>
      <c r="C264" s="23">
        <v>5163</v>
      </c>
    </row>
    <row r="265" spans="1:3" ht="15.6" x14ac:dyDescent="0.3">
      <c r="A265" s="23" t="s">
        <v>92</v>
      </c>
      <c r="B265" s="23" t="s">
        <v>150</v>
      </c>
      <c r="C265" s="23">
        <v>5181</v>
      </c>
    </row>
    <row r="266" spans="1:3" ht="15.6" x14ac:dyDescent="0.3">
      <c r="A266" s="23" t="s">
        <v>151</v>
      </c>
      <c r="B266" s="23" t="s">
        <v>150</v>
      </c>
      <c r="C266" s="23">
        <v>5220</v>
      </c>
    </row>
    <row r="267" spans="1:3" ht="15.6" x14ac:dyDescent="0.3">
      <c r="A267" s="23" t="s">
        <v>151</v>
      </c>
      <c r="B267" s="23" t="s">
        <v>152</v>
      </c>
      <c r="C267" s="23">
        <v>5242</v>
      </c>
    </row>
    <row r="268" spans="1:3" ht="15.6" x14ac:dyDescent="0.3">
      <c r="A268" s="23" t="s">
        <v>157</v>
      </c>
      <c r="B268" s="23" t="s">
        <v>152</v>
      </c>
      <c r="C268" s="23">
        <v>5296</v>
      </c>
    </row>
    <row r="269" spans="1:3" ht="15.6" x14ac:dyDescent="0.3">
      <c r="A269" s="23" t="s">
        <v>93</v>
      </c>
      <c r="B269" s="23" t="s">
        <v>150</v>
      </c>
      <c r="C269" s="23">
        <v>5308</v>
      </c>
    </row>
    <row r="270" spans="1:3" ht="15.6" x14ac:dyDescent="0.3">
      <c r="A270" s="23" t="s">
        <v>95</v>
      </c>
      <c r="B270" s="23" t="s">
        <v>150</v>
      </c>
      <c r="C270" s="23">
        <v>5348</v>
      </c>
    </row>
    <row r="271" spans="1:3" ht="15.6" x14ac:dyDescent="0.3">
      <c r="A271" s="23" t="s">
        <v>93</v>
      </c>
      <c r="B271" s="23" t="s">
        <v>128</v>
      </c>
      <c r="C271" s="23">
        <v>5390</v>
      </c>
    </row>
    <row r="272" spans="1:3" ht="15.6" x14ac:dyDescent="0.3">
      <c r="A272" s="23" t="s">
        <v>93</v>
      </c>
      <c r="B272" s="23" t="s">
        <v>152</v>
      </c>
      <c r="C272" s="23">
        <v>5409</v>
      </c>
    </row>
    <row r="273" spans="1:3" ht="15.6" x14ac:dyDescent="0.3">
      <c r="A273" s="23" t="s">
        <v>93</v>
      </c>
      <c r="B273" s="23" t="s">
        <v>150</v>
      </c>
      <c r="C273" s="23">
        <v>5425</v>
      </c>
    </row>
    <row r="274" spans="1:3" ht="15.6" x14ac:dyDescent="0.3">
      <c r="A274" s="23" t="s">
        <v>113</v>
      </c>
      <c r="B274" s="23" t="s">
        <v>128</v>
      </c>
      <c r="C274" s="23">
        <v>5458</v>
      </c>
    </row>
    <row r="275" spans="1:3" ht="15.6" x14ac:dyDescent="0.3">
      <c r="A275" s="23" t="s">
        <v>157</v>
      </c>
      <c r="B275" s="23" t="s">
        <v>152</v>
      </c>
      <c r="C275" s="23">
        <v>5461</v>
      </c>
    </row>
    <row r="276" spans="1:3" ht="15.6" x14ac:dyDescent="0.3">
      <c r="A276" s="23" t="s">
        <v>93</v>
      </c>
      <c r="B276" s="23" t="s">
        <v>152</v>
      </c>
      <c r="C276" s="23">
        <v>5487</v>
      </c>
    </row>
    <row r="277" spans="1:3" ht="15.6" x14ac:dyDescent="0.3">
      <c r="A277" s="23" t="s">
        <v>157</v>
      </c>
      <c r="B277" s="23" t="s">
        <v>150</v>
      </c>
      <c r="C277" s="23">
        <v>5532</v>
      </c>
    </row>
    <row r="278" spans="1:3" ht="15.6" x14ac:dyDescent="0.3">
      <c r="A278" s="23" t="s">
        <v>93</v>
      </c>
      <c r="B278" s="23" t="s">
        <v>150</v>
      </c>
      <c r="C278" s="23">
        <v>5543</v>
      </c>
    </row>
    <row r="279" spans="1:3" ht="15.6" x14ac:dyDescent="0.3">
      <c r="A279" s="23" t="s">
        <v>93</v>
      </c>
      <c r="B279" s="23" t="s">
        <v>152</v>
      </c>
      <c r="C279" s="23">
        <v>5585</v>
      </c>
    </row>
    <row r="280" spans="1:3" ht="15.6" x14ac:dyDescent="0.3">
      <c r="A280" s="23" t="s">
        <v>95</v>
      </c>
      <c r="B280" s="23" t="s">
        <v>150</v>
      </c>
      <c r="C280" s="23">
        <v>5628</v>
      </c>
    </row>
    <row r="281" spans="1:3" ht="15.6" x14ac:dyDescent="0.3">
      <c r="A281" s="23" t="s">
        <v>151</v>
      </c>
      <c r="B281" s="23" t="s">
        <v>152</v>
      </c>
      <c r="C281" s="23">
        <v>5630</v>
      </c>
    </row>
    <row r="282" spans="1:3" ht="15.6" x14ac:dyDescent="0.3">
      <c r="A282" s="23" t="s">
        <v>95</v>
      </c>
      <c r="B282" s="23" t="s">
        <v>128</v>
      </c>
      <c r="C282" s="23">
        <v>5657</v>
      </c>
    </row>
    <row r="283" spans="1:3" ht="15.6" x14ac:dyDescent="0.3">
      <c r="A283" s="23" t="s">
        <v>93</v>
      </c>
      <c r="B283" s="23" t="s">
        <v>152</v>
      </c>
      <c r="C283" s="23">
        <v>5667</v>
      </c>
    </row>
    <row r="284" spans="1:3" ht="15.6" x14ac:dyDescent="0.3">
      <c r="A284" s="23" t="s">
        <v>157</v>
      </c>
      <c r="B284" s="23" t="s">
        <v>152</v>
      </c>
      <c r="C284" s="23">
        <v>5682</v>
      </c>
    </row>
    <row r="285" spans="1:3" ht="15.6" x14ac:dyDescent="0.3">
      <c r="A285" s="23" t="s">
        <v>93</v>
      </c>
      <c r="B285" s="23" t="s">
        <v>152</v>
      </c>
      <c r="C285" s="23">
        <v>5691</v>
      </c>
    </row>
    <row r="286" spans="1:3" ht="15.6" x14ac:dyDescent="0.3">
      <c r="A286" s="23" t="s">
        <v>92</v>
      </c>
      <c r="B286" s="23" t="s">
        <v>152</v>
      </c>
      <c r="C286" s="23">
        <v>5752</v>
      </c>
    </row>
    <row r="287" spans="1:3" ht="15.6" x14ac:dyDescent="0.3">
      <c r="A287" s="23" t="s">
        <v>93</v>
      </c>
      <c r="B287" s="23" t="s">
        <v>152</v>
      </c>
      <c r="C287" s="23">
        <v>5773</v>
      </c>
    </row>
    <row r="288" spans="1:3" ht="15.6" x14ac:dyDescent="0.3">
      <c r="A288" s="23" t="s">
        <v>151</v>
      </c>
      <c r="B288" s="23" t="s">
        <v>152</v>
      </c>
      <c r="C288" s="23">
        <v>5814</v>
      </c>
    </row>
    <row r="289" spans="1:3" ht="15.6" x14ac:dyDescent="0.3">
      <c r="A289" s="23" t="s">
        <v>151</v>
      </c>
      <c r="B289" s="23" t="s">
        <v>152</v>
      </c>
      <c r="C289" s="23">
        <v>5815</v>
      </c>
    </row>
    <row r="290" spans="1:3" ht="15.6" x14ac:dyDescent="0.3">
      <c r="A290" s="23" t="s">
        <v>93</v>
      </c>
      <c r="B290" s="23" t="s">
        <v>128</v>
      </c>
      <c r="C290" s="23">
        <v>5830</v>
      </c>
    </row>
    <row r="291" spans="1:3" ht="15.6" x14ac:dyDescent="0.3">
      <c r="A291" s="23" t="s">
        <v>157</v>
      </c>
      <c r="B291" s="23" t="s">
        <v>150</v>
      </c>
      <c r="C291" s="23">
        <v>5888</v>
      </c>
    </row>
    <row r="292" spans="1:3" ht="15.6" x14ac:dyDescent="0.3">
      <c r="A292" s="23" t="s">
        <v>157</v>
      </c>
      <c r="B292" s="23" t="s">
        <v>150</v>
      </c>
      <c r="C292" s="23">
        <v>5918</v>
      </c>
    </row>
    <row r="293" spans="1:3" ht="15.6" x14ac:dyDescent="0.3">
      <c r="A293" s="23" t="s">
        <v>151</v>
      </c>
      <c r="B293" s="23" t="s">
        <v>150</v>
      </c>
      <c r="C293" s="23">
        <v>5933</v>
      </c>
    </row>
    <row r="294" spans="1:3" ht="15.6" x14ac:dyDescent="0.3">
      <c r="A294" s="23" t="s">
        <v>113</v>
      </c>
      <c r="B294" s="23" t="s">
        <v>150</v>
      </c>
      <c r="C294" s="23">
        <v>5953</v>
      </c>
    </row>
    <row r="295" spans="1:3" ht="15.6" x14ac:dyDescent="0.3">
      <c r="A295" s="23" t="s">
        <v>157</v>
      </c>
      <c r="B295" s="23" t="s">
        <v>152</v>
      </c>
      <c r="C295" s="23">
        <v>5959</v>
      </c>
    </row>
    <row r="296" spans="1:3" ht="15.6" x14ac:dyDescent="0.3">
      <c r="A296" s="23" t="s">
        <v>157</v>
      </c>
      <c r="B296" s="23" t="s">
        <v>150</v>
      </c>
      <c r="C296" s="23">
        <v>5978</v>
      </c>
    </row>
    <row r="297" spans="1:3" ht="15.6" x14ac:dyDescent="0.3">
      <c r="A297" s="23" t="s">
        <v>93</v>
      </c>
      <c r="B297" s="23" t="s">
        <v>152</v>
      </c>
      <c r="C297" s="23">
        <v>6002</v>
      </c>
    </row>
    <row r="298" spans="1:3" ht="15.6" x14ac:dyDescent="0.3">
      <c r="A298" s="23" t="s">
        <v>93</v>
      </c>
      <c r="B298" s="23" t="s">
        <v>150</v>
      </c>
      <c r="C298" s="23">
        <v>6003</v>
      </c>
    </row>
    <row r="299" spans="1:3" ht="15.6" x14ac:dyDescent="0.3">
      <c r="A299" s="23" t="s">
        <v>151</v>
      </c>
      <c r="B299" s="23" t="s">
        <v>152</v>
      </c>
      <c r="C299" s="23">
        <v>6009</v>
      </c>
    </row>
    <row r="300" spans="1:3" ht="15.6" x14ac:dyDescent="0.3">
      <c r="A300" s="23" t="s">
        <v>151</v>
      </c>
      <c r="B300" s="23" t="s">
        <v>128</v>
      </c>
      <c r="C300" s="23">
        <v>6018</v>
      </c>
    </row>
    <row r="301" spans="1:3" ht="15.6" x14ac:dyDescent="0.3">
      <c r="A301" s="23" t="s">
        <v>113</v>
      </c>
      <c r="B301" s="23" t="s">
        <v>150</v>
      </c>
      <c r="C301" s="23">
        <v>6019</v>
      </c>
    </row>
    <row r="302" spans="1:3" ht="15.6" x14ac:dyDescent="0.3">
      <c r="A302" s="23" t="s">
        <v>93</v>
      </c>
      <c r="B302" s="23" t="s">
        <v>152</v>
      </c>
      <c r="C302" s="23">
        <v>6022</v>
      </c>
    </row>
    <row r="303" spans="1:3" ht="15.6" x14ac:dyDescent="0.3">
      <c r="A303" s="23" t="s">
        <v>113</v>
      </c>
      <c r="B303" s="23" t="s">
        <v>152</v>
      </c>
      <c r="C303" s="23">
        <v>6022</v>
      </c>
    </row>
    <row r="304" spans="1:3" ht="15.6" x14ac:dyDescent="0.3">
      <c r="A304" s="23" t="s">
        <v>95</v>
      </c>
      <c r="B304" s="23" t="s">
        <v>152</v>
      </c>
      <c r="C304" s="23">
        <v>6024</v>
      </c>
    </row>
    <row r="305" spans="1:3" ht="15.6" x14ac:dyDescent="0.3">
      <c r="A305" s="23" t="s">
        <v>93</v>
      </c>
      <c r="B305" s="23" t="s">
        <v>152</v>
      </c>
      <c r="C305" s="23">
        <v>6027</v>
      </c>
    </row>
    <row r="306" spans="1:3" ht="15.6" x14ac:dyDescent="0.3">
      <c r="A306" s="23" t="s">
        <v>95</v>
      </c>
      <c r="B306" s="23" t="s">
        <v>152</v>
      </c>
      <c r="C306" s="23">
        <v>6037</v>
      </c>
    </row>
    <row r="307" spans="1:3" ht="15.6" x14ac:dyDescent="0.3">
      <c r="A307" s="23" t="s">
        <v>93</v>
      </c>
      <c r="B307" s="23" t="s">
        <v>150</v>
      </c>
      <c r="C307" s="23">
        <v>6041</v>
      </c>
    </row>
    <row r="308" spans="1:3" ht="15.6" x14ac:dyDescent="0.3">
      <c r="A308" s="23" t="s">
        <v>151</v>
      </c>
      <c r="B308" s="23" t="s">
        <v>150</v>
      </c>
      <c r="C308" s="23">
        <v>6041</v>
      </c>
    </row>
    <row r="309" spans="1:3" ht="15.6" x14ac:dyDescent="0.3">
      <c r="A309" s="23" t="s">
        <v>93</v>
      </c>
      <c r="B309" s="23" t="s">
        <v>150</v>
      </c>
      <c r="C309" s="23">
        <v>6042</v>
      </c>
    </row>
    <row r="310" spans="1:3" ht="15.6" x14ac:dyDescent="0.3">
      <c r="A310" s="23" t="s">
        <v>93</v>
      </c>
      <c r="B310" s="23" t="s">
        <v>150</v>
      </c>
      <c r="C310" s="23">
        <v>6062</v>
      </c>
    </row>
    <row r="311" spans="1:3" ht="15.6" x14ac:dyDescent="0.3">
      <c r="A311" s="23" t="s">
        <v>157</v>
      </c>
      <c r="B311" s="23" t="s">
        <v>152</v>
      </c>
      <c r="C311" s="23">
        <v>6064</v>
      </c>
    </row>
    <row r="312" spans="1:3" ht="15.6" x14ac:dyDescent="0.3">
      <c r="A312" s="23" t="s">
        <v>157</v>
      </c>
      <c r="B312" s="23" t="s">
        <v>152</v>
      </c>
      <c r="C312" s="23">
        <v>6088</v>
      </c>
    </row>
    <row r="313" spans="1:3" ht="15.6" x14ac:dyDescent="0.3">
      <c r="A313" s="23" t="s">
        <v>151</v>
      </c>
      <c r="B313" s="23" t="s">
        <v>152</v>
      </c>
      <c r="C313" s="23">
        <v>6107</v>
      </c>
    </row>
    <row r="314" spans="1:3" ht="15.6" x14ac:dyDescent="0.3">
      <c r="A314" s="23" t="s">
        <v>93</v>
      </c>
      <c r="B314" s="23" t="s">
        <v>128</v>
      </c>
      <c r="C314" s="23">
        <v>6207</v>
      </c>
    </row>
    <row r="315" spans="1:3" ht="15.6" x14ac:dyDescent="0.3">
      <c r="A315" s="23" t="s">
        <v>92</v>
      </c>
      <c r="B315" s="23" t="s">
        <v>152</v>
      </c>
      <c r="C315" s="23">
        <v>6240</v>
      </c>
    </row>
    <row r="316" spans="1:3" ht="15.6" x14ac:dyDescent="0.3">
      <c r="A316" s="23" t="s">
        <v>113</v>
      </c>
      <c r="B316" s="23" t="s">
        <v>128</v>
      </c>
      <c r="C316" s="23">
        <v>6247</v>
      </c>
    </row>
    <row r="317" spans="1:3" ht="15.6" x14ac:dyDescent="0.3">
      <c r="A317" s="23" t="s">
        <v>93</v>
      </c>
      <c r="B317" s="23" t="s">
        <v>152</v>
      </c>
      <c r="C317" s="23">
        <v>6343</v>
      </c>
    </row>
    <row r="318" spans="1:3" ht="15.6" x14ac:dyDescent="0.3">
      <c r="A318" s="23" t="s">
        <v>113</v>
      </c>
      <c r="B318" s="23" t="s">
        <v>150</v>
      </c>
      <c r="C318" s="23">
        <v>6359</v>
      </c>
    </row>
    <row r="319" spans="1:3" ht="15.6" x14ac:dyDescent="0.3">
      <c r="A319" s="23" t="s">
        <v>113</v>
      </c>
      <c r="B319" s="23" t="s">
        <v>152</v>
      </c>
      <c r="C319" s="23">
        <v>6398</v>
      </c>
    </row>
    <row r="320" spans="1:3" ht="15.6" x14ac:dyDescent="0.3">
      <c r="A320" s="23" t="s">
        <v>151</v>
      </c>
      <c r="B320" s="23" t="s">
        <v>128</v>
      </c>
      <c r="C320" s="23">
        <v>6399</v>
      </c>
    </row>
    <row r="321" spans="1:3" ht="15.6" x14ac:dyDescent="0.3">
      <c r="A321" s="23" t="s">
        <v>151</v>
      </c>
      <c r="B321" s="23" t="s">
        <v>150</v>
      </c>
      <c r="C321" s="23">
        <v>6460</v>
      </c>
    </row>
    <row r="322" spans="1:3" ht="15.6" x14ac:dyDescent="0.3">
      <c r="A322" s="23" t="s">
        <v>94</v>
      </c>
      <c r="B322" s="23" t="s">
        <v>152</v>
      </c>
      <c r="C322" s="23">
        <v>6465</v>
      </c>
    </row>
    <row r="323" spans="1:3" ht="15.6" x14ac:dyDescent="0.3">
      <c r="A323" s="23" t="s">
        <v>151</v>
      </c>
      <c r="B323" s="23" t="s">
        <v>128</v>
      </c>
      <c r="C323" s="23">
        <v>6570</v>
      </c>
    </row>
    <row r="324" spans="1:3" ht="15.6" x14ac:dyDescent="0.3">
      <c r="A324" s="23" t="s">
        <v>95</v>
      </c>
      <c r="B324" s="23" t="s">
        <v>150</v>
      </c>
      <c r="C324" s="23">
        <v>6598</v>
      </c>
    </row>
    <row r="325" spans="1:3" ht="15.6" x14ac:dyDescent="0.3">
      <c r="A325" s="23" t="s">
        <v>151</v>
      </c>
      <c r="B325" s="23" t="s">
        <v>150</v>
      </c>
      <c r="C325" s="23">
        <v>6610</v>
      </c>
    </row>
    <row r="326" spans="1:3" ht="15.6" x14ac:dyDescent="0.3">
      <c r="A326" s="23" t="s">
        <v>94</v>
      </c>
      <c r="B326" s="23" t="s">
        <v>128</v>
      </c>
      <c r="C326" s="23">
        <v>6626</v>
      </c>
    </row>
    <row r="327" spans="1:3" ht="15.6" x14ac:dyDescent="0.3">
      <c r="A327" s="23" t="s">
        <v>157</v>
      </c>
      <c r="B327" s="23" t="s">
        <v>150</v>
      </c>
      <c r="C327" s="23">
        <v>6632</v>
      </c>
    </row>
    <row r="328" spans="1:3" ht="15.6" x14ac:dyDescent="0.3">
      <c r="A328" s="23" t="s">
        <v>113</v>
      </c>
      <c r="B328" s="23" t="s">
        <v>152</v>
      </c>
      <c r="C328" s="23">
        <v>6687</v>
      </c>
    </row>
    <row r="329" spans="1:3" ht="15.6" x14ac:dyDescent="0.3">
      <c r="A329" s="23" t="s">
        <v>157</v>
      </c>
      <c r="B329" s="23" t="s">
        <v>152</v>
      </c>
      <c r="C329" s="23">
        <v>6706</v>
      </c>
    </row>
    <row r="330" spans="1:3" ht="15.6" x14ac:dyDescent="0.3">
      <c r="A330" s="23" t="s">
        <v>151</v>
      </c>
      <c r="B330" s="23" t="s">
        <v>128</v>
      </c>
      <c r="C330" s="23">
        <v>6745</v>
      </c>
    </row>
    <row r="331" spans="1:3" ht="15.6" x14ac:dyDescent="0.3">
      <c r="A331" s="23" t="s">
        <v>113</v>
      </c>
      <c r="B331" s="23" t="s">
        <v>152</v>
      </c>
      <c r="C331" s="23">
        <v>6750</v>
      </c>
    </row>
    <row r="332" spans="1:3" ht="15.6" x14ac:dyDescent="0.3">
      <c r="A332" s="23" t="s">
        <v>93</v>
      </c>
      <c r="B332" s="23" t="s">
        <v>152</v>
      </c>
      <c r="C332" s="23">
        <v>6766</v>
      </c>
    </row>
    <row r="333" spans="1:3" ht="15.6" x14ac:dyDescent="0.3">
      <c r="A333" s="23" t="s">
        <v>113</v>
      </c>
      <c r="B333" s="23" t="s">
        <v>152</v>
      </c>
      <c r="C333" s="23">
        <v>6811</v>
      </c>
    </row>
    <row r="334" spans="1:3" ht="15.6" x14ac:dyDescent="0.3">
      <c r="A334" s="23" t="s">
        <v>151</v>
      </c>
      <c r="B334" s="23" t="s">
        <v>152</v>
      </c>
      <c r="C334" s="23">
        <v>6813</v>
      </c>
    </row>
    <row r="335" spans="1:3" ht="15.6" x14ac:dyDescent="0.3">
      <c r="A335" s="23" t="s">
        <v>95</v>
      </c>
      <c r="B335" s="23" t="s">
        <v>152</v>
      </c>
      <c r="C335" s="23">
        <v>6816</v>
      </c>
    </row>
    <row r="336" spans="1:3" ht="15.6" x14ac:dyDescent="0.3">
      <c r="A336" s="23" t="s">
        <v>93</v>
      </c>
      <c r="B336" s="23" t="s">
        <v>152</v>
      </c>
      <c r="C336" s="23">
        <v>6835</v>
      </c>
    </row>
    <row r="337" spans="1:3" ht="15.6" x14ac:dyDescent="0.3">
      <c r="A337" s="23" t="s">
        <v>151</v>
      </c>
      <c r="B337" s="23" t="s">
        <v>128</v>
      </c>
      <c r="C337" s="23">
        <v>6841</v>
      </c>
    </row>
    <row r="338" spans="1:3" ht="15.6" x14ac:dyDescent="0.3">
      <c r="A338" s="23" t="s">
        <v>151</v>
      </c>
      <c r="B338" s="23" t="s">
        <v>128</v>
      </c>
      <c r="C338" s="23">
        <v>6879</v>
      </c>
    </row>
    <row r="339" spans="1:3" ht="15.6" x14ac:dyDescent="0.3">
      <c r="A339" s="23" t="s">
        <v>94</v>
      </c>
      <c r="B339" s="23" t="s">
        <v>152</v>
      </c>
      <c r="C339" s="23">
        <v>6901</v>
      </c>
    </row>
    <row r="340" spans="1:3" ht="15.6" x14ac:dyDescent="0.3">
      <c r="A340" s="23" t="s">
        <v>157</v>
      </c>
      <c r="B340" s="23" t="s">
        <v>152</v>
      </c>
      <c r="C340" s="23">
        <v>7032</v>
      </c>
    </row>
    <row r="341" spans="1:3" ht="15.6" x14ac:dyDescent="0.3">
      <c r="A341" s="23" t="s">
        <v>93</v>
      </c>
      <c r="B341" s="23" t="s">
        <v>152</v>
      </c>
      <c r="C341" s="23">
        <v>7056</v>
      </c>
    </row>
    <row r="342" spans="1:3" ht="15.6" x14ac:dyDescent="0.3">
      <c r="A342" s="23" t="s">
        <v>95</v>
      </c>
      <c r="B342" s="23" t="s">
        <v>152</v>
      </c>
      <c r="C342" s="23">
        <v>7056</v>
      </c>
    </row>
    <row r="343" spans="1:3" ht="15.6" x14ac:dyDescent="0.3">
      <c r="A343" s="23" t="s">
        <v>151</v>
      </c>
      <c r="B343" s="23" t="s">
        <v>112</v>
      </c>
      <c r="C343" s="23">
        <v>7061</v>
      </c>
    </row>
    <row r="344" spans="1:3" ht="15.6" x14ac:dyDescent="0.3">
      <c r="A344" s="23" t="s">
        <v>113</v>
      </c>
      <c r="B344" s="23" t="s">
        <v>128</v>
      </c>
      <c r="C344" s="23">
        <v>7067</v>
      </c>
    </row>
    <row r="345" spans="1:3" ht="15.6" x14ac:dyDescent="0.3">
      <c r="A345" s="23" t="s">
        <v>151</v>
      </c>
      <c r="B345" s="23" t="s">
        <v>112</v>
      </c>
      <c r="C345" s="23">
        <v>7072</v>
      </c>
    </row>
    <row r="346" spans="1:3" ht="15.6" x14ac:dyDescent="0.3">
      <c r="A346" s="23" t="s">
        <v>157</v>
      </c>
      <c r="B346" s="23" t="s">
        <v>112</v>
      </c>
      <c r="C346" s="23">
        <v>7075</v>
      </c>
    </row>
    <row r="347" spans="1:3" ht="15.6" x14ac:dyDescent="0.3">
      <c r="A347" s="23" t="s">
        <v>151</v>
      </c>
      <c r="B347" s="23" t="s">
        <v>112</v>
      </c>
      <c r="C347" s="23">
        <v>7081</v>
      </c>
    </row>
    <row r="348" spans="1:3" ht="15.6" x14ac:dyDescent="0.3">
      <c r="A348" s="23" t="s">
        <v>157</v>
      </c>
      <c r="B348" s="23" t="s">
        <v>152</v>
      </c>
      <c r="C348" s="23">
        <v>7094</v>
      </c>
    </row>
    <row r="349" spans="1:3" ht="15.6" x14ac:dyDescent="0.3">
      <c r="A349" s="23" t="s">
        <v>93</v>
      </c>
      <c r="B349" s="23" t="s">
        <v>152</v>
      </c>
      <c r="C349" s="23">
        <v>7134</v>
      </c>
    </row>
    <row r="350" spans="1:3" ht="15.6" x14ac:dyDescent="0.3">
      <c r="A350" s="23" t="s">
        <v>151</v>
      </c>
      <c r="B350" s="23" t="s">
        <v>152</v>
      </c>
      <c r="C350" s="23">
        <v>7184</v>
      </c>
    </row>
    <row r="351" spans="1:3" ht="15.6" x14ac:dyDescent="0.3">
      <c r="A351" s="23" t="s">
        <v>113</v>
      </c>
      <c r="B351" s="23" t="s">
        <v>150</v>
      </c>
      <c r="C351" s="23">
        <v>7214</v>
      </c>
    </row>
    <row r="352" spans="1:3" ht="15.6" x14ac:dyDescent="0.3">
      <c r="A352" s="23" t="s">
        <v>157</v>
      </c>
      <c r="B352" s="23" t="s">
        <v>128</v>
      </c>
      <c r="C352" s="23">
        <v>7229</v>
      </c>
    </row>
    <row r="353" spans="1:3" ht="15.6" x14ac:dyDescent="0.3">
      <c r="A353" s="23" t="s">
        <v>94</v>
      </c>
      <c r="B353" s="23" t="s">
        <v>150</v>
      </c>
      <c r="C353" s="23">
        <v>7238</v>
      </c>
    </row>
    <row r="354" spans="1:3" ht="15.6" x14ac:dyDescent="0.3">
      <c r="A354" s="23" t="s">
        <v>95</v>
      </c>
      <c r="B354" s="23" t="s">
        <v>150</v>
      </c>
      <c r="C354" s="23">
        <v>7238</v>
      </c>
    </row>
    <row r="355" spans="1:3" ht="15.6" x14ac:dyDescent="0.3">
      <c r="A355" s="23" t="s">
        <v>113</v>
      </c>
      <c r="B355" s="23" t="s">
        <v>152</v>
      </c>
      <c r="C355" s="23">
        <v>7249</v>
      </c>
    </row>
    <row r="356" spans="1:3" ht="15.6" x14ac:dyDescent="0.3">
      <c r="A356" s="23" t="s">
        <v>93</v>
      </c>
      <c r="B356" s="23" t="s">
        <v>152</v>
      </c>
      <c r="C356" s="23">
        <v>7279</v>
      </c>
    </row>
    <row r="357" spans="1:3" ht="15.6" x14ac:dyDescent="0.3">
      <c r="A357" s="23" t="s">
        <v>95</v>
      </c>
      <c r="B357" s="23" t="s">
        <v>112</v>
      </c>
      <c r="C357" s="23">
        <v>7279</v>
      </c>
    </row>
    <row r="358" spans="1:3" ht="15.6" x14ac:dyDescent="0.3">
      <c r="A358" s="23" t="s">
        <v>95</v>
      </c>
      <c r="B358" s="23" t="s">
        <v>150</v>
      </c>
      <c r="C358" s="23">
        <v>7299</v>
      </c>
    </row>
    <row r="359" spans="1:3" ht="15.6" x14ac:dyDescent="0.3">
      <c r="A359" s="23" t="s">
        <v>95</v>
      </c>
      <c r="B359" s="23" t="s">
        <v>152</v>
      </c>
      <c r="C359" s="23">
        <v>7320</v>
      </c>
    </row>
    <row r="360" spans="1:3" ht="15.6" x14ac:dyDescent="0.3">
      <c r="A360" s="23" t="s">
        <v>113</v>
      </c>
      <c r="B360" s="23" t="s">
        <v>112</v>
      </c>
      <c r="C360" s="23">
        <v>7326</v>
      </c>
    </row>
    <row r="361" spans="1:3" ht="15.6" x14ac:dyDescent="0.3">
      <c r="A361" s="23" t="s">
        <v>151</v>
      </c>
      <c r="B361" s="23" t="s">
        <v>150</v>
      </c>
      <c r="C361" s="23">
        <v>7328</v>
      </c>
    </row>
    <row r="362" spans="1:3" ht="15.6" x14ac:dyDescent="0.3">
      <c r="A362" s="23" t="s">
        <v>157</v>
      </c>
      <c r="B362" s="23" t="s">
        <v>152</v>
      </c>
      <c r="C362" s="23">
        <v>7338</v>
      </c>
    </row>
    <row r="363" spans="1:3" ht="15.6" x14ac:dyDescent="0.3">
      <c r="A363" s="23" t="s">
        <v>93</v>
      </c>
      <c r="B363" s="23" t="s">
        <v>150</v>
      </c>
      <c r="C363" s="23">
        <v>7346</v>
      </c>
    </row>
    <row r="364" spans="1:3" ht="15.6" x14ac:dyDescent="0.3">
      <c r="A364" s="23" t="s">
        <v>151</v>
      </c>
      <c r="B364" s="23" t="s">
        <v>150</v>
      </c>
      <c r="C364" s="23">
        <v>7373</v>
      </c>
    </row>
    <row r="365" spans="1:3" ht="15.6" x14ac:dyDescent="0.3">
      <c r="A365" s="23" t="s">
        <v>157</v>
      </c>
      <c r="B365" s="23" t="s">
        <v>150</v>
      </c>
      <c r="C365" s="23">
        <v>7386</v>
      </c>
    </row>
    <row r="366" spans="1:3" ht="15.6" x14ac:dyDescent="0.3">
      <c r="A366" s="23" t="s">
        <v>113</v>
      </c>
      <c r="B366" s="23" t="s">
        <v>152</v>
      </c>
      <c r="C366" s="23">
        <v>7415</v>
      </c>
    </row>
    <row r="367" spans="1:3" ht="15.6" x14ac:dyDescent="0.3">
      <c r="A367" s="23" t="s">
        <v>157</v>
      </c>
      <c r="B367" s="23" t="s">
        <v>150</v>
      </c>
      <c r="C367" s="23">
        <v>7430</v>
      </c>
    </row>
    <row r="368" spans="1:3" ht="15.6" x14ac:dyDescent="0.3">
      <c r="A368" s="23" t="s">
        <v>95</v>
      </c>
      <c r="B368" s="23" t="s">
        <v>150</v>
      </c>
      <c r="C368" s="23">
        <v>7486</v>
      </c>
    </row>
    <row r="369" spans="1:3" ht="15.6" x14ac:dyDescent="0.3">
      <c r="A369" s="23" t="s">
        <v>95</v>
      </c>
      <c r="B369" s="23" t="s">
        <v>150</v>
      </c>
      <c r="C369" s="23">
        <v>7511</v>
      </c>
    </row>
    <row r="370" spans="1:3" ht="15.6" x14ac:dyDescent="0.3">
      <c r="A370" s="23" t="s">
        <v>93</v>
      </c>
      <c r="B370" s="23" t="s">
        <v>150</v>
      </c>
      <c r="C370" s="23">
        <v>7634</v>
      </c>
    </row>
    <row r="371" spans="1:3" ht="15.6" x14ac:dyDescent="0.3">
      <c r="A371" s="23" t="s">
        <v>95</v>
      </c>
      <c r="B371" s="23" t="s">
        <v>152</v>
      </c>
      <c r="C371" s="23">
        <v>7662</v>
      </c>
    </row>
    <row r="372" spans="1:3" ht="15.6" x14ac:dyDescent="0.3">
      <c r="A372" s="23" t="s">
        <v>157</v>
      </c>
      <c r="B372" s="23" t="s">
        <v>128</v>
      </c>
      <c r="C372" s="23">
        <v>7698</v>
      </c>
    </row>
    <row r="373" spans="1:3" ht="15.6" x14ac:dyDescent="0.3">
      <c r="A373" s="23" t="s">
        <v>95</v>
      </c>
      <c r="B373" s="23" t="s">
        <v>150</v>
      </c>
      <c r="C373" s="23">
        <v>7798</v>
      </c>
    </row>
    <row r="374" spans="1:3" ht="15.6" x14ac:dyDescent="0.3">
      <c r="A374" s="23" t="s">
        <v>113</v>
      </c>
      <c r="B374" s="23" t="s">
        <v>128</v>
      </c>
      <c r="C374" s="23">
        <v>7821</v>
      </c>
    </row>
    <row r="375" spans="1:3" ht="15.6" x14ac:dyDescent="0.3">
      <c r="A375" s="23" t="s">
        <v>113</v>
      </c>
      <c r="B375" s="23" t="s">
        <v>128</v>
      </c>
      <c r="C375" s="23">
        <v>7852</v>
      </c>
    </row>
    <row r="376" spans="1:3" ht="15.6" x14ac:dyDescent="0.3">
      <c r="A376" s="23" t="s">
        <v>113</v>
      </c>
      <c r="B376" s="23" t="s">
        <v>128</v>
      </c>
      <c r="C376" s="23">
        <v>7867</v>
      </c>
    </row>
    <row r="377" spans="1:3" ht="15.6" x14ac:dyDescent="0.3">
      <c r="A377" s="23" t="s">
        <v>93</v>
      </c>
      <c r="B377" s="23" t="s">
        <v>152</v>
      </c>
      <c r="C377" s="23">
        <v>7875</v>
      </c>
    </row>
    <row r="378" spans="1:3" ht="15.6" x14ac:dyDescent="0.3">
      <c r="A378" s="23" t="s">
        <v>113</v>
      </c>
      <c r="B378" s="23" t="s">
        <v>150</v>
      </c>
      <c r="C378" s="23">
        <v>7884</v>
      </c>
    </row>
    <row r="379" spans="1:3" ht="15.6" x14ac:dyDescent="0.3">
      <c r="A379" s="23" t="s">
        <v>95</v>
      </c>
      <c r="B379" s="23" t="s">
        <v>152</v>
      </c>
      <c r="C379" s="23">
        <v>7901</v>
      </c>
    </row>
    <row r="380" spans="1:3" ht="15.6" x14ac:dyDescent="0.3">
      <c r="A380" s="23" t="s">
        <v>95</v>
      </c>
      <c r="B380" s="23" t="s">
        <v>152</v>
      </c>
      <c r="C380" s="23">
        <v>7903</v>
      </c>
    </row>
    <row r="381" spans="1:3" ht="15.6" x14ac:dyDescent="0.3">
      <c r="A381" s="23" t="s">
        <v>93</v>
      </c>
      <c r="B381" s="23" t="s">
        <v>152</v>
      </c>
      <c r="C381" s="23">
        <v>7905</v>
      </c>
    </row>
    <row r="382" spans="1:3" ht="15.6" x14ac:dyDescent="0.3">
      <c r="A382" s="23" t="s">
        <v>113</v>
      </c>
      <c r="B382" s="23" t="s">
        <v>128</v>
      </c>
      <c r="C382" s="23">
        <v>7912</v>
      </c>
    </row>
    <row r="383" spans="1:3" ht="15.6" x14ac:dyDescent="0.3">
      <c r="A383" s="23" t="s">
        <v>113</v>
      </c>
      <c r="B383" s="23" t="s">
        <v>152</v>
      </c>
      <c r="C383" s="23">
        <v>7958</v>
      </c>
    </row>
    <row r="384" spans="1:3" ht="15.6" x14ac:dyDescent="0.3">
      <c r="A384" s="23" t="s">
        <v>92</v>
      </c>
      <c r="B384" s="23" t="s">
        <v>152</v>
      </c>
      <c r="C384" s="23">
        <v>7997</v>
      </c>
    </row>
    <row r="385" spans="1:3" ht="15.6" x14ac:dyDescent="0.3">
      <c r="A385" s="23" t="s">
        <v>157</v>
      </c>
      <c r="B385" s="23" t="s">
        <v>152</v>
      </c>
      <c r="C385" s="23">
        <v>8007</v>
      </c>
    </row>
    <row r="386" spans="1:3" ht="15.6" x14ac:dyDescent="0.3">
      <c r="A386" s="23" t="s">
        <v>93</v>
      </c>
      <c r="B386" s="23" t="s">
        <v>152</v>
      </c>
      <c r="C386" s="23">
        <v>8010</v>
      </c>
    </row>
    <row r="387" spans="1:3" ht="15.6" x14ac:dyDescent="0.3">
      <c r="A387" s="23" t="s">
        <v>93</v>
      </c>
      <c r="B387" s="23" t="s">
        <v>152</v>
      </c>
      <c r="C387" s="23">
        <v>8029</v>
      </c>
    </row>
    <row r="388" spans="1:3" ht="15.6" x14ac:dyDescent="0.3">
      <c r="A388" s="23" t="s">
        <v>157</v>
      </c>
      <c r="B388" s="23" t="s">
        <v>152</v>
      </c>
      <c r="C388" s="23">
        <v>8034</v>
      </c>
    </row>
    <row r="389" spans="1:3" ht="15.6" x14ac:dyDescent="0.3">
      <c r="A389" s="23" t="s">
        <v>93</v>
      </c>
      <c r="B389" s="23" t="s">
        <v>152</v>
      </c>
      <c r="C389" s="23">
        <v>8044</v>
      </c>
    </row>
    <row r="390" spans="1:3" ht="15.6" x14ac:dyDescent="0.3">
      <c r="A390" s="23" t="s">
        <v>92</v>
      </c>
      <c r="B390" s="23" t="s">
        <v>152</v>
      </c>
      <c r="C390" s="23">
        <v>8058</v>
      </c>
    </row>
    <row r="391" spans="1:3" ht="15.6" x14ac:dyDescent="0.3">
      <c r="A391" s="23" t="s">
        <v>113</v>
      </c>
      <c r="B391" s="23" t="s">
        <v>128</v>
      </c>
      <c r="C391" s="23">
        <v>8153</v>
      </c>
    </row>
    <row r="392" spans="1:3" ht="15.6" x14ac:dyDescent="0.3">
      <c r="A392" s="23" t="s">
        <v>151</v>
      </c>
      <c r="B392" s="23" t="s">
        <v>150</v>
      </c>
      <c r="C392" s="23">
        <v>8165</v>
      </c>
    </row>
    <row r="393" spans="1:3" ht="15.6" x14ac:dyDescent="0.3">
      <c r="A393" s="23" t="s">
        <v>157</v>
      </c>
      <c r="B393" s="23" t="s">
        <v>128</v>
      </c>
      <c r="C393" s="23">
        <v>8261</v>
      </c>
    </row>
    <row r="394" spans="1:3" ht="15.6" x14ac:dyDescent="0.3">
      <c r="A394" s="23" t="s">
        <v>93</v>
      </c>
      <c r="B394" s="23" t="s">
        <v>152</v>
      </c>
      <c r="C394" s="23">
        <v>8265</v>
      </c>
    </row>
    <row r="395" spans="1:3" ht="15.6" x14ac:dyDescent="0.3">
      <c r="A395" s="23" t="s">
        <v>93</v>
      </c>
      <c r="B395" s="23" t="s">
        <v>128</v>
      </c>
      <c r="C395" s="23">
        <v>8364</v>
      </c>
    </row>
    <row r="396" spans="1:3" ht="15.6" x14ac:dyDescent="0.3">
      <c r="A396" s="23" t="s">
        <v>157</v>
      </c>
      <c r="B396" s="23" t="s">
        <v>150</v>
      </c>
      <c r="C396" s="23">
        <v>8376</v>
      </c>
    </row>
    <row r="397" spans="1:3" ht="15.6" x14ac:dyDescent="0.3">
      <c r="A397" s="23" t="s">
        <v>113</v>
      </c>
      <c r="B397" s="23" t="s">
        <v>128</v>
      </c>
      <c r="C397" s="23">
        <v>8380</v>
      </c>
    </row>
    <row r="398" spans="1:3" ht="15.6" x14ac:dyDescent="0.3">
      <c r="A398" s="23" t="s">
        <v>93</v>
      </c>
      <c r="B398" s="23" t="s">
        <v>152</v>
      </c>
      <c r="C398" s="23">
        <v>8443</v>
      </c>
    </row>
    <row r="399" spans="1:3" ht="15.6" x14ac:dyDescent="0.3">
      <c r="A399" s="23" t="s">
        <v>93</v>
      </c>
      <c r="B399" s="23" t="s">
        <v>152</v>
      </c>
      <c r="C399" s="23">
        <v>8502</v>
      </c>
    </row>
    <row r="400" spans="1:3" ht="15.6" x14ac:dyDescent="0.3">
      <c r="A400" s="23" t="s">
        <v>93</v>
      </c>
      <c r="B400" s="23" t="s">
        <v>128</v>
      </c>
      <c r="C400" s="23">
        <v>8530</v>
      </c>
    </row>
    <row r="401" spans="1:3" ht="15.6" x14ac:dyDescent="0.3">
      <c r="A401" s="23" t="s">
        <v>95</v>
      </c>
      <c r="B401" s="23" t="s">
        <v>128</v>
      </c>
      <c r="C401" s="23">
        <v>8533</v>
      </c>
    </row>
    <row r="402" spans="1:3" ht="15.6" x14ac:dyDescent="0.3">
      <c r="A402" s="23" t="s">
        <v>93</v>
      </c>
      <c r="B402" s="23" t="s">
        <v>128</v>
      </c>
      <c r="C402" s="23">
        <v>8535</v>
      </c>
    </row>
    <row r="403" spans="1:3" ht="15.6" x14ac:dyDescent="0.3">
      <c r="A403" s="23" t="s">
        <v>157</v>
      </c>
      <c r="B403" s="23" t="s">
        <v>128</v>
      </c>
      <c r="C403" s="23">
        <v>8550</v>
      </c>
    </row>
    <row r="404" spans="1:3" ht="15.6" x14ac:dyDescent="0.3">
      <c r="A404" s="23" t="s">
        <v>113</v>
      </c>
      <c r="B404" s="23" t="s">
        <v>152</v>
      </c>
      <c r="C404" s="23">
        <v>8588</v>
      </c>
    </row>
    <row r="405" spans="1:3" ht="15.6" x14ac:dyDescent="0.3">
      <c r="A405" s="23" t="s">
        <v>157</v>
      </c>
      <c r="B405" s="23" t="s">
        <v>150</v>
      </c>
      <c r="C405" s="23">
        <v>8599</v>
      </c>
    </row>
    <row r="406" spans="1:3" ht="15.6" x14ac:dyDescent="0.3">
      <c r="A406" s="23" t="s">
        <v>157</v>
      </c>
      <c r="B406" s="23" t="s">
        <v>128</v>
      </c>
      <c r="C406" s="23">
        <v>8641</v>
      </c>
    </row>
    <row r="407" spans="1:3" ht="15.6" x14ac:dyDescent="0.3">
      <c r="A407" s="23" t="s">
        <v>151</v>
      </c>
      <c r="B407" s="23" t="s">
        <v>152</v>
      </c>
      <c r="C407" s="23">
        <v>8653</v>
      </c>
    </row>
    <row r="408" spans="1:3" ht="15.6" x14ac:dyDescent="0.3">
      <c r="A408" s="23" t="s">
        <v>93</v>
      </c>
      <c r="B408" s="23" t="s">
        <v>152</v>
      </c>
      <c r="C408" s="23">
        <v>8809</v>
      </c>
    </row>
    <row r="409" spans="1:3" ht="15.6" x14ac:dyDescent="0.3">
      <c r="A409" s="23" t="s">
        <v>157</v>
      </c>
      <c r="B409" s="23" t="s">
        <v>128</v>
      </c>
      <c r="C409" s="23">
        <v>8834</v>
      </c>
    </row>
    <row r="410" spans="1:3" ht="15.6" x14ac:dyDescent="0.3">
      <c r="A410" s="23" t="s">
        <v>93</v>
      </c>
      <c r="B410" s="23" t="s">
        <v>152</v>
      </c>
      <c r="C410" s="23">
        <v>8841</v>
      </c>
    </row>
    <row r="411" spans="1:3" ht="15.6" x14ac:dyDescent="0.3">
      <c r="A411" s="23" t="s">
        <v>151</v>
      </c>
      <c r="B411" s="23" t="s">
        <v>150</v>
      </c>
      <c r="C411" s="23">
        <v>8937</v>
      </c>
    </row>
    <row r="412" spans="1:3" ht="15.6" x14ac:dyDescent="0.3">
      <c r="A412" s="23" t="s">
        <v>151</v>
      </c>
      <c r="B412" s="23" t="s">
        <v>128</v>
      </c>
      <c r="C412" s="23">
        <v>8967</v>
      </c>
    </row>
    <row r="413" spans="1:3" ht="15.6" x14ac:dyDescent="0.3">
      <c r="A413" s="23" t="s">
        <v>93</v>
      </c>
      <c r="B413" s="23" t="s">
        <v>150</v>
      </c>
      <c r="C413" s="23">
        <v>8969</v>
      </c>
    </row>
    <row r="414" spans="1:3" ht="15.6" x14ac:dyDescent="0.3">
      <c r="A414" s="23" t="s">
        <v>157</v>
      </c>
      <c r="B414" s="23" t="s">
        <v>150</v>
      </c>
      <c r="C414" s="23">
        <v>8979</v>
      </c>
    </row>
    <row r="415" spans="1:3" ht="15.6" x14ac:dyDescent="0.3">
      <c r="A415" s="23" t="s">
        <v>157</v>
      </c>
      <c r="B415" s="23" t="s">
        <v>152</v>
      </c>
      <c r="C415" s="23">
        <v>8997</v>
      </c>
    </row>
    <row r="416" spans="1:3" ht="15.6" x14ac:dyDescent="0.3">
      <c r="A416" s="23" t="s">
        <v>93</v>
      </c>
      <c r="B416" s="23" t="s">
        <v>152</v>
      </c>
      <c r="C416" s="23">
        <v>9013</v>
      </c>
    </row>
    <row r="417" spans="1:3" ht="15.6" x14ac:dyDescent="0.3">
      <c r="A417" s="23" t="s">
        <v>92</v>
      </c>
      <c r="B417" s="23" t="s">
        <v>112</v>
      </c>
      <c r="C417" s="23">
        <v>9019</v>
      </c>
    </row>
    <row r="418" spans="1:3" ht="15.6" x14ac:dyDescent="0.3">
      <c r="A418" s="23" t="s">
        <v>151</v>
      </c>
      <c r="B418" s="23" t="s">
        <v>150</v>
      </c>
      <c r="C418" s="23">
        <v>9036</v>
      </c>
    </row>
    <row r="419" spans="1:3" ht="15.6" x14ac:dyDescent="0.3">
      <c r="A419" s="23" t="s">
        <v>151</v>
      </c>
      <c r="B419" s="23" t="s">
        <v>128</v>
      </c>
      <c r="C419" s="23">
        <v>9059</v>
      </c>
    </row>
    <row r="420" spans="1:3" ht="15.6" x14ac:dyDescent="0.3">
      <c r="A420" s="23" t="s">
        <v>93</v>
      </c>
      <c r="B420" s="23" t="s">
        <v>112</v>
      </c>
      <c r="C420" s="23">
        <v>9080</v>
      </c>
    </row>
    <row r="421" spans="1:3" ht="15.6" x14ac:dyDescent="0.3">
      <c r="A421" s="23" t="s">
        <v>93</v>
      </c>
      <c r="B421" s="23" t="s">
        <v>128</v>
      </c>
      <c r="C421" s="23">
        <v>9093</v>
      </c>
    </row>
    <row r="422" spans="1:3" ht="15.6" x14ac:dyDescent="0.3">
      <c r="A422" s="23" t="s">
        <v>95</v>
      </c>
      <c r="B422" s="23" t="s">
        <v>112</v>
      </c>
      <c r="C422" s="23">
        <v>9093</v>
      </c>
    </row>
    <row r="423" spans="1:3" ht="15.6" x14ac:dyDescent="0.3">
      <c r="A423" s="23" t="s">
        <v>92</v>
      </c>
      <c r="B423" s="23" t="s">
        <v>150</v>
      </c>
      <c r="C423" s="23">
        <v>9095</v>
      </c>
    </row>
    <row r="424" spans="1:3" ht="15.6" x14ac:dyDescent="0.3">
      <c r="A424" s="23" t="s">
        <v>93</v>
      </c>
      <c r="B424" s="23" t="s">
        <v>112</v>
      </c>
      <c r="C424" s="23">
        <v>9099</v>
      </c>
    </row>
    <row r="425" spans="1:3" ht="15.6" x14ac:dyDescent="0.3">
      <c r="A425" s="23" t="s">
        <v>95</v>
      </c>
      <c r="B425" s="23" t="s">
        <v>112</v>
      </c>
      <c r="C425" s="23">
        <v>9125</v>
      </c>
    </row>
    <row r="426" spans="1:3" ht="15.6" x14ac:dyDescent="0.3">
      <c r="A426" s="23" t="s">
        <v>93</v>
      </c>
      <c r="B426" s="23" t="s">
        <v>112</v>
      </c>
      <c r="C426" s="23">
        <v>9170</v>
      </c>
    </row>
    <row r="427" spans="1:3" ht="15.6" x14ac:dyDescent="0.3">
      <c r="A427" s="23" t="s">
        <v>113</v>
      </c>
      <c r="B427" s="23" t="s">
        <v>150</v>
      </c>
      <c r="C427" s="23">
        <v>9182</v>
      </c>
    </row>
    <row r="428" spans="1:3" ht="15.6" x14ac:dyDescent="0.3">
      <c r="A428" s="23" t="s">
        <v>95</v>
      </c>
      <c r="B428" s="23" t="s">
        <v>112</v>
      </c>
      <c r="C428" s="23">
        <v>9186</v>
      </c>
    </row>
    <row r="429" spans="1:3" ht="15.6" x14ac:dyDescent="0.3">
      <c r="A429" s="23" t="s">
        <v>95</v>
      </c>
      <c r="B429" s="23" t="s">
        <v>152</v>
      </c>
      <c r="C429" s="23">
        <v>9187</v>
      </c>
    </row>
    <row r="430" spans="1:3" ht="15.6" x14ac:dyDescent="0.3">
      <c r="A430" s="23" t="s">
        <v>151</v>
      </c>
      <c r="B430" s="23" t="s">
        <v>128</v>
      </c>
      <c r="C430" s="23">
        <v>9204</v>
      </c>
    </row>
    <row r="431" spans="1:3" ht="15.6" x14ac:dyDescent="0.3">
      <c r="A431" s="23" t="s">
        <v>157</v>
      </c>
      <c r="B431" s="23" t="s">
        <v>128</v>
      </c>
      <c r="C431" s="23">
        <v>9205</v>
      </c>
    </row>
    <row r="432" spans="1:3" ht="15.6" x14ac:dyDescent="0.3">
      <c r="A432" s="23" t="s">
        <v>151</v>
      </c>
      <c r="B432" s="23" t="s">
        <v>150</v>
      </c>
      <c r="C432" s="23">
        <v>9216</v>
      </c>
    </row>
    <row r="433" spans="1:3" ht="15.6" x14ac:dyDescent="0.3">
      <c r="A433" s="23" t="s">
        <v>93</v>
      </c>
      <c r="B433" s="23" t="s">
        <v>152</v>
      </c>
      <c r="C433" s="23">
        <v>9293</v>
      </c>
    </row>
    <row r="434" spans="1:3" ht="15.6" x14ac:dyDescent="0.3">
      <c r="A434" s="23" t="s">
        <v>95</v>
      </c>
      <c r="B434" s="23" t="s">
        <v>128</v>
      </c>
      <c r="C434" s="23">
        <v>9300</v>
      </c>
    </row>
    <row r="435" spans="1:3" ht="15.6" x14ac:dyDescent="0.3">
      <c r="A435" s="23" t="s">
        <v>93</v>
      </c>
      <c r="B435" s="23" t="s">
        <v>128</v>
      </c>
      <c r="C435" s="23">
        <v>9303</v>
      </c>
    </row>
    <row r="436" spans="1:3" ht="15.6" x14ac:dyDescent="0.3">
      <c r="A436" s="23" t="s">
        <v>151</v>
      </c>
      <c r="B436" s="23" t="s">
        <v>128</v>
      </c>
      <c r="C436" s="23">
        <v>9424</v>
      </c>
    </row>
    <row r="437" spans="1:3" ht="15.6" x14ac:dyDescent="0.3">
      <c r="A437" s="23" t="s">
        <v>113</v>
      </c>
      <c r="B437" s="23" t="s">
        <v>150</v>
      </c>
      <c r="C437" s="23">
        <v>9459</v>
      </c>
    </row>
    <row r="438" spans="1:3" ht="15.6" x14ac:dyDescent="0.3">
      <c r="A438" s="23" t="s">
        <v>95</v>
      </c>
      <c r="B438" s="23" t="s">
        <v>128</v>
      </c>
      <c r="C438" s="23">
        <v>9471</v>
      </c>
    </row>
    <row r="439" spans="1:3" ht="15.6" x14ac:dyDescent="0.3">
      <c r="A439" s="23" t="s">
        <v>157</v>
      </c>
      <c r="B439" s="23" t="s">
        <v>152</v>
      </c>
      <c r="C439" s="23">
        <v>9592</v>
      </c>
    </row>
    <row r="440" spans="1:3" ht="15.6" x14ac:dyDescent="0.3">
      <c r="A440" s="23" t="s">
        <v>151</v>
      </c>
      <c r="B440" s="23" t="s">
        <v>150</v>
      </c>
      <c r="C440" s="23">
        <v>9612</v>
      </c>
    </row>
    <row r="441" spans="1:3" ht="15.6" x14ac:dyDescent="0.3">
      <c r="A441" s="23" t="s">
        <v>157</v>
      </c>
      <c r="B441" s="23" t="s">
        <v>150</v>
      </c>
      <c r="C441" s="23">
        <v>9671</v>
      </c>
    </row>
    <row r="442" spans="1:3" ht="15.6" x14ac:dyDescent="0.3">
      <c r="A442" s="23" t="s">
        <v>151</v>
      </c>
      <c r="B442" s="23" t="s">
        <v>150</v>
      </c>
      <c r="C442" s="23">
        <v>9694</v>
      </c>
    </row>
    <row r="443" spans="1:3" ht="15.6" x14ac:dyDescent="0.3">
      <c r="A443" s="23" t="s">
        <v>93</v>
      </c>
      <c r="B443" s="23" t="s">
        <v>150</v>
      </c>
      <c r="C443" s="23">
        <v>9715</v>
      </c>
    </row>
    <row r="444" spans="1:3" ht="15.6" x14ac:dyDescent="0.3">
      <c r="A444" s="23" t="s">
        <v>151</v>
      </c>
      <c r="B444" s="23" t="s">
        <v>128</v>
      </c>
      <c r="C444" s="23">
        <v>9729</v>
      </c>
    </row>
    <row r="445" spans="1:3" ht="15.6" x14ac:dyDescent="0.3">
      <c r="A445" s="23" t="s">
        <v>93</v>
      </c>
      <c r="B445" s="23" t="s">
        <v>150</v>
      </c>
      <c r="C445" s="23">
        <v>9794</v>
      </c>
    </row>
    <row r="446" spans="1:3" ht="15.6" x14ac:dyDescent="0.3">
      <c r="A446" s="23" t="s">
        <v>93</v>
      </c>
      <c r="B446" s="23" t="s">
        <v>150</v>
      </c>
      <c r="C446" s="23">
        <v>9865</v>
      </c>
    </row>
    <row r="447" spans="1:3" ht="15.6" x14ac:dyDescent="0.3">
      <c r="A447" s="23" t="s">
        <v>157</v>
      </c>
      <c r="B447" s="23" t="s">
        <v>150</v>
      </c>
      <c r="C447" s="23">
        <v>9940</v>
      </c>
    </row>
    <row r="448" spans="1:3" ht="15.6" x14ac:dyDescent="0.3">
      <c r="A448" s="23" t="s">
        <v>113</v>
      </c>
      <c r="B448" s="23" t="s">
        <v>128</v>
      </c>
      <c r="C448" s="23">
        <v>9974</v>
      </c>
    </row>
    <row r="449" spans="1:3" ht="15.6" x14ac:dyDescent="0.3">
      <c r="A449" s="23" t="s">
        <v>93</v>
      </c>
      <c r="B449" s="23" t="s">
        <v>152</v>
      </c>
      <c r="C449" s="23">
        <v>9975</v>
      </c>
    </row>
    <row r="450" spans="1:3" ht="15.6" x14ac:dyDescent="0.3">
      <c r="A450" s="23" t="s">
        <v>157</v>
      </c>
      <c r="B450" s="23" t="s">
        <v>128</v>
      </c>
      <c r="C450" s="23">
        <v>10032</v>
      </c>
    </row>
    <row r="451" spans="1:3" ht="15.6" x14ac:dyDescent="0.3">
      <c r="A451" s="23" t="s">
        <v>93</v>
      </c>
      <c r="B451" s="23" t="s">
        <v>112</v>
      </c>
      <c r="C451" s="23">
        <v>10053</v>
      </c>
    </row>
    <row r="452" spans="1:3" ht="15.6" x14ac:dyDescent="0.3">
      <c r="A452" s="23" t="s">
        <v>93</v>
      </c>
      <c r="B452" s="23" t="s">
        <v>128</v>
      </c>
      <c r="C452" s="23">
        <v>10056</v>
      </c>
    </row>
    <row r="453" spans="1:3" ht="15.6" x14ac:dyDescent="0.3">
      <c r="A453" s="23" t="s">
        <v>93</v>
      </c>
      <c r="B453" s="23" t="s">
        <v>112</v>
      </c>
      <c r="C453" s="23">
        <v>10068</v>
      </c>
    </row>
    <row r="454" spans="1:3" ht="15.6" x14ac:dyDescent="0.3">
      <c r="A454" s="23" t="s">
        <v>151</v>
      </c>
      <c r="B454" s="23" t="s">
        <v>112</v>
      </c>
      <c r="C454" s="23">
        <v>10084</v>
      </c>
    </row>
    <row r="455" spans="1:3" ht="15.6" x14ac:dyDescent="0.3">
      <c r="A455" s="23" t="s">
        <v>93</v>
      </c>
      <c r="B455" s="23" t="s">
        <v>112</v>
      </c>
      <c r="C455" s="23">
        <v>10090</v>
      </c>
    </row>
    <row r="456" spans="1:3" ht="15.6" x14ac:dyDescent="0.3">
      <c r="A456" s="23" t="s">
        <v>93</v>
      </c>
      <c r="B456" s="23" t="s">
        <v>128</v>
      </c>
      <c r="C456" s="23">
        <v>10098</v>
      </c>
    </row>
    <row r="457" spans="1:3" ht="15.6" x14ac:dyDescent="0.3">
      <c r="A457" s="23" t="s">
        <v>93</v>
      </c>
      <c r="B457" s="23" t="s">
        <v>150</v>
      </c>
      <c r="C457" s="23">
        <v>10119</v>
      </c>
    </row>
    <row r="458" spans="1:3" ht="15.6" x14ac:dyDescent="0.3">
      <c r="A458" s="23" t="s">
        <v>113</v>
      </c>
      <c r="B458" s="23" t="s">
        <v>152</v>
      </c>
      <c r="C458" s="23">
        <v>10123</v>
      </c>
    </row>
    <row r="459" spans="1:3" ht="15.6" x14ac:dyDescent="0.3">
      <c r="A459" s="23" t="s">
        <v>113</v>
      </c>
      <c r="B459" s="23" t="s">
        <v>152</v>
      </c>
      <c r="C459" s="23">
        <v>10140</v>
      </c>
    </row>
    <row r="460" spans="1:3" ht="15.6" x14ac:dyDescent="0.3">
      <c r="A460" s="23" t="s">
        <v>157</v>
      </c>
      <c r="B460" s="23" t="s">
        <v>150</v>
      </c>
      <c r="C460" s="23">
        <v>10159</v>
      </c>
    </row>
    <row r="461" spans="1:3" ht="15.6" x14ac:dyDescent="0.3">
      <c r="A461" s="23" t="s">
        <v>157</v>
      </c>
      <c r="B461" s="23" t="s">
        <v>150</v>
      </c>
      <c r="C461" s="23">
        <v>10160</v>
      </c>
    </row>
    <row r="462" spans="1:3" ht="15.6" x14ac:dyDescent="0.3">
      <c r="A462" s="23" t="s">
        <v>113</v>
      </c>
      <c r="B462" s="23" t="s">
        <v>152</v>
      </c>
      <c r="C462" s="23">
        <v>10175</v>
      </c>
    </row>
    <row r="463" spans="1:3" ht="15.6" x14ac:dyDescent="0.3">
      <c r="A463" s="23" t="s">
        <v>93</v>
      </c>
      <c r="B463" s="23" t="s">
        <v>152</v>
      </c>
      <c r="C463" s="23">
        <v>10179</v>
      </c>
    </row>
    <row r="464" spans="1:3" ht="15.6" x14ac:dyDescent="0.3">
      <c r="A464" s="23" t="s">
        <v>151</v>
      </c>
      <c r="B464" s="23" t="s">
        <v>128</v>
      </c>
      <c r="C464" s="23">
        <v>10201</v>
      </c>
    </row>
    <row r="465" spans="1:3" ht="15.6" x14ac:dyDescent="0.3">
      <c r="A465" s="23" t="s">
        <v>93</v>
      </c>
      <c r="B465" s="23" t="s">
        <v>152</v>
      </c>
      <c r="C465" s="23">
        <v>10202</v>
      </c>
    </row>
    <row r="466" spans="1:3" ht="15.6" x14ac:dyDescent="0.3">
      <c r="A466" s="23" t="s">
        <v>113</v>
      </c>
      <c r="B466" s="23" t="s">
        <v>128</v>
      </c>
      <c r="C466" s="23">
        <v>10216</v>
      </c>
    </row>
    <row r="467" spans="1:3" ht="15.6" x14ac:dyDescent="0.3">
      <c r="A467" s="23" t="s">
        <v>92</v>
      </c>
      <c r="B467" s="23" t="s">
        <v>150</v>
      </c>
      <c r="C467" s="23">
        <v>10225</v>
      </c>
    </row>
    <row r="468" spans="1:3" ht="15.6" x14ac:dyDescent="0.3">
      <c r="A468" s="23" t="s">
        <v>113</v>
      </c>
      <c r="B468" s="23" t="s">
        <v>128</v>
      </c>
      <c r="C468" s="23">
        <v>10225</v>
      </c>
    </row>
    <row r="469" spans="1:3" ht="15.6" x14ac:dyDescent="0.3">
      <c r="A469" s="23" t="s">
        <v>157</v>
      </c>
      <c r="B469" s="23" t="s">
        <v>152</v>
      </c>
      <c r="C469" s="23">
        <v>10233</v>
      </c>
    </row>
    <row r="470" spans="1:3" ht="15.6" x14ac:dyDescent="0.3">
      <c r="A470" s="23" t="s">
        <v>113</v>
      </c>
      <c r="B470" s="23" t="s">
        <v>152</v>
      </c>
      <c r="C470" s="23">
        <v>10238</v>
      </c>
    </row>
    <row r="471" spans="1:3" ht="15.6" x14ac:dyDescent="0.3">
      <c r="A471" s="23" t="s">
        <v>93</v>
      </c>
      <c r="B471" s="23" t="s">
        <v>150</v>
      </c>
      <c r="C471" s="23">
        <v>10261</v>
      </c>
    </row>
    <row r="472" spans="1:3" ht="15.6" x14ac:dyDescent="0.3">
      <c r="A472" s="23" t="s">
        <v>93</v>
      </c>
      <c r="B472" s="23" t="s">
        <v>150</v>
      </c>
      <c r="C472" s="23">
        <v>10354</v>
      </c>
    </row>
    <row r="473" spans="1:3" ht="15.6" x14ac:dyDescent="0.3">
      <c r="A473" s="23" t="s">
        <v>113</v>
      </c>
      <c r="B473" s="23" t="s">
        <v>152</v>
      </c>
      <c r="C473" s="23">
        <v>10356</v>
      </c>
    </row>
    <row r="474" spans="1:3" ht="15.6" x14ac:dyDescent="0.3">
      <c r="A474" s="23" t="s">
        <v>157</v>
      </c>
      <c r="B474" s="23" t="s">
        <v>128</v>
      </c>
      <c r="C474" s="23">
        <v>10360</v>
      </c>
    </row>
    <row r="475" spans="1:3" ht="15.6" x14ac:dyDescent="0.3">
      <c r="A475" s="23" t="s">
        <v>93</v>
      </c>
      <c r="B475" s="23" t="s">
        <v>150</v>
      </c>
      <c r="C475" s="23">
        <v>10362</v>
      </c>
    </row>
    <row r="476" spans="1:3" ht="15.6" x14ac:dyDescent="0.3">
      <c r="A476" s="23" t="s">
        <v>93</v>
      </c>
      <c r="B476" s="23" t="s">
        <v>150</v>
      </c>
      <c r="C476" s="23">
        <v>10367</v>
      </c>
    </row>
    <row r="477" spans="1:3" ht="15.6" x14ac:dyDescent="0.3">
      <c r="A477" s="23" t="s">
        <v>113</v>
      </c>
      <c r="B477" s="23" t="s">
        <v>150</v>
      </c>
      <c r="C477" s="23">
        <v>10375</v>
      </c>
    </row>
    <row r="478" spans="1:3" ht="15.6" x14ac:dyDescent="0.3">
      <c r="A478" s="23" t="s">
        <v>151</v>
      </c>
      <c r="B478" s="23" t="s">
        <v>128</v>
      </c>
      <c r="C478" s="23">
        <v>10417</v>
      </c>
    </row>
    <row r="479" spans="1:3" ht="15.6" x14ac:dyDescent="0.3">
      <c r="A479" s="23" t="s">
        <v>92</v>
      </c>
      <c r="B479" s="23" t="s">
        <v>150</v>
      </c>
      <c r="C479" s="23">
        <v>10431</v>
      </c>
    </row>
    <row r="480" spans="1:3" ht="15.6" x14ac:dyDescent="0.3">
      <c r="A480" s="23" t="s">
        <v>93</v>
      </c>
      <c r="B480" s="23" t="s">
        <v>128</v>
      </c>
      <c r="C480" s="23">
        <v>10436</v>
      </c>
    </row>
    <row r="481" spans="1:3" ht="15.6" x14ac:dyDescent="0.3">
      <c r="A481" s="23" t="s">
        <v>95</v>
      </c>
      <c r="B481" s="23" t="s">
        <v>152</v>
      </c>
      <c r="C481" s="23">
        <v>10454</v>
      </c>
    </row>
    <row r="482" spans="1:3" ht="15.6" x14ac:dyDescent="0.3">
      <c r="A482" s="23" t="s">
        <v>157</v>
      </c>
      <c r="B482" s="23" t="s">
        <v>128</v>
      </c>
      <c r="C482" s="23">
        <v>10522</v>
      </c>
    </row>
    <row r="483" spans="1:3" ht="15.6" x14ac:dyDescent="0.3">
      <c r="A483" s="23" t="s">
        <v>93</v>
      </c>
      <c r="B483" s="23" t="s">
        <v>128</v>
      </c>
      <c r="C483" s="23">
        <v>10526</v>
      </c>
    </row>
    <row r="484" spans="1:3" ht="15.6" x14ac:dyDescent="0.3">
      <c r="A484" s="23" t="s">
        <v>151</v>
      </c>
      <c r="B484" s="23" t="s">
        <v>152</v>
      </c>
      <c r="C484" s="23">
        <v>10527</v>
      </c>
    </row>
    <row r="485" spans="1:3" ht="15.6" x14ac:dyDescent="0.3">
      <c r="A485" s="23" t="s">
        <v>113</v>
      </c>
      <c r="B485" s="23" t="s">
        <v>150</v>
      </c>
      <c r="C485" s="23">
        <v>10555</v>
      </c>
    </row>
    <row r="486" spans="1:3" ht="15.6" x14ac:dyDescent="0.3">
      <c r="A486" s="23" t="s">
        <v>93</v>
      </c>
      <c r="B486" s="23" t="s">
        <v>150</v>
      </c>
      <c r="C486" s="23">
        <v>10599</v>
      </c>
    </row>
    <row r="487" spans="1:3" ht="15.6" x14ac:dyDescent="0.3">
      <c r="A487" s="23" t="s">
        <v>113</v>
      </c>
      <c r="B487" s="23" t="s">
        <v>152</v>
      </c>
      <c r="C487" s="23">
        <v>10633</v>
      </c>
    </row>
    <row r="488" spans="1:3" ht="15.6" x14ac:dyDescent="0.3">
      <c r="A488" s="23" t="s">
        <v>113</v>
      </c>
      <c r="B488" s="23" t="s">
        <v>152</v>
      </c>
      <c r="C488" s="23">
        <v>10687</v>
      </c>
    </row>
    <row r="489" spans="1:3" ht="15.6" x14ac:dyDescent="0.3">
      <c r="A489" s="23" t="s">
        <v>157</v>
      </c>
      <c r="B489" s="23" t="s">
        <v>128</v>
      </c>
      <c r="C489" s="23">
        <v>10826</v>
      </c>
    </row>
    <row r="490" spans="1:3" ht="15.6" x14ac:dyDescent="0.3">
      <c r="A490" s="23" t="s">
        <v>92</v>
      </c>
      <c r="B490" s="23" t="s">
        <v>128</v>
      </c>
      <c r="C490" s="23">
        <v>10851</v>
      </c>
    </row>
    <row r="491" spans="1:3" ht="15.6" x14ac:dyDescent="0.3">
      <c r="A491" s="23" t="s">
        <v>113</v>
      </c>
      <c r="B491" s="23" t="s">
        <v>128</v>
      </c>
      <c r="C491" s="23">
        <v>10858</v>
      </c>
    </row>
    <row r="492" spans="1:3" ht="15.6" x14ac:dyDescent="0.3">
      <c r="A492" s="23" t="s">
        <v>93</v>
      </c>
      <c r="B492" s="23" t="s">
        <v>152</v>
      </c>
      <c r="C492" s="23">
        <v>10904</v>
      </c>
    </row>
    <row r="493" spans="1:3" ht="15.6" x14ac:dyDescent="0.3">
      <c r="A493" s="23" t="s">
        <v>157</v>
      </c>
      <c r="B493" s="23" t="s">
        <v>150</v>
      </c>
      <c r="C493" s="23">
        <v>10980</v>
      </c>
    </row>
    <row r="494" spans="1:3" ht="15.6" x14ac:dyDescent="0.3">
      <c r="A494" s="23" t="s">
        <v>157</v>
      </c>
      <c r="B494" s="23" t="s">
        <v>128</v>
      </c>
      <c r="C494" s="23">
        <v>11007</v>
      </c>
    </row>
    <row r="495" spans="1:3" ht="15.6" x14ac:dyDescent="0.3">
      <c r="A495" s="23" t="s">
        <v>95</v>
      </c>
      <c r="B495" s="23" t="s">
        <v>128</v>
      </c>
      <c r="C495" s="23">
        <v>11017</v>
      </c>
    </row>
    <row r="496" spans="1:3" ht="15.6" x14ac:dyDescent="0.3">
      <c r="A496" s="23" t="s">
        <v>157</v>
      </c>
      <c r="B496" s="23" t="s">
        <v>128</v>
      </c>
      <c r="C496" s="23">
        <v>11023</v>
      </c>
    </row>
    <row r="497" spans="1:3" ht="15.6" x14ac:dyDescent="0.3">
      <c r="A497" s="23" t="s">
        <v>113</v>
      </c>
      <c r="B497" s="23" t="s">
        <v>128</v>
      </c>
      <c r="C497" s="23">
        <v>11206</v>
      </c>
    </row>
    <row r="498" spans="1:3" ht="15.6" x14ac:dyDescent="0.3">
      <c r="A498" s="23" t="s">
        <v>94</v>
      </c>
      <c r="B498" s="23" t="s">
        <v>128</v>
      </c>
      <c r="C498" s="23">
        <v>11220</v>
      </c>
    </row>
    <row r="499" spans="1:3" ht="15.6" x14ac:dyDescent="0.3">
      <c r="A499" s="23" t="s">
        <v>95</v>
      </c>
      <c r="B499" s="23" t="s">
        <v>152</v>
      </c>
      <c r="C499" s="23">
        <v>11229</v>
      </c>
    </row>
    <row r="500" spans="1:3" ht="15.6" x14ac:dyDescent="0.3">
      <c r="A500" s="23" t="s">
        <v>113</v>
      </c>
      <c r="B500" s="23" t="s">
        <v>150</v>
      </c>
      <c r="C500" s="23">
        <v>11234</v>
      </c>
    </row>
    <row r="501" spans="1:3" ht="15.6" x14ac:dyDescent="0.3">
      <c r="A501" s="23" t="s">
        <v>151</v>
      </c>
      <c r="B501" s="23" t="s">
        <v>152</v>
      </c>
      <c r="C501" s="23">
        <v>11254</v>
      </c>
    </row>
    <row r="502" spans="1:3" ht="15.6" x14ac:dyDescent="0.3">
      <c r="A502" s="23" t="s">
        <v>95</v>
      </c>
      <c r="B502" s="23" t="s">
        <v>152</v>
      </c>
      <c r="C502" s="23">
        <v>11426</v>
      </c>
    </row>
    <row r="503" spans="1:3" ht="15.6" x14ac:dyDescent="0.3">
      <c r="A503" s="23" t="s">
        <v>95</v>
      </c>
      <c r="B503" s="23" t="s">
        <v>150</v>
      </c>
      <c r="C503" s="23">
        <v>11447</v>
      </c>
    </row>
    <row r="504" spans="1:3" ht="15.6" x14ac:dyDescent="0.3">
      <c r="A504" s="23" t="s">
        <v>93</v>
      </c>
      <c r="B504" s="23" t="s">
        <v>150</v>
      </c>
      <c r="C504" s="23">
        <v>11465</v>
      </c>
    </row>
    <row r="505" spans="1:3" ht="15.6" x14ac:dyDescent="0.3">
      <c r="A505" s="23" t="s">
        <v>94</v>
      </c>
      <c r="B505" s="23" t="s">
        <v>128</v>
      </c>
      <c r="C505" s="23">
        <v>11561</v>
      </c>
    </row>
    <row r="506" spans="1:3" ht="15.6" x14ac:dyDescent="0.3">
      <c r="A506" s="23" t="s">
        <v>95</v>
      </c>
      <c r="B506" s="23" t="s">
        <v>150</v>
      </c>
      <c r="C506" s="23">
        <v>11585</v>
      </c>
    </row>
    <row r="507" spans="1:3" ht="15.6" x14ac:dyDescent="0.3">
      <c r="A507" s="23" t="s">
        <v>93</v>
      </c>
      <c r="B507" s="23" t="s">
        <v>128</v>
      </c>
      <c r="C507" s="23">
        <v>11595</v>
      </c>
    </row>
    <row r="508" spans="1:3" ht="15.6" x14ac:dyDescent="0.3">
      <c r="A508" s="23" t="s">
        <v>157</v>
      </c>
      <c r="B508" s="23" t="s">
        <v>128</v>
      </c>
      <c r="C508" s="23">
        <v>11610</v>
      </c>
    </row>
    <row r="509" spans="1:3" ht="15.6" x14ac:dyDescent="0.3">
      <c r="A509" s="23" t="s">
        <v>92</v>
      </c>
      <c r="B509" s="23" t="s">
        <v>128</v>
      </c>
      <c r="C509" s="23">
        <v>11685</v>
      </c>
    </row>
    <row r="510" spans="1:3" ht="15.6" x14ac:dyDescent="0.3">
      <c r="A510" s="23" t="s">
        <v>151</v>
      </c>
      <c r="B510" s="23" t="s">
        <v>150</v>
      </c>
      <c r="C510" s="23">
        <v>11716</v>
      </c>
    </row>
    <row r="511" spans="1:3" ht="15.6" x14ac:dyDescent="0.3">
      <c r="A511" s="23" t="s">
        <v>94</v>
      </c>
      <c r="B511" s="23" t="s">
        <v>152</v>
      </c>
      <c r="C511" s="23">
        <v>11739</v>
      </c>
    </row>
    <row r="512" spans="1:3" ht="15.6" x14ac:dyDescent="0.3">
      <c r="A512" s="23" t="s">
        <v>95</v>
      </c>
      <c r="B512" s="23" t="s">
        <v>150</v>
      </c>
      <c r="C512" s="23">
        <v>11759</v>
      </c>
    </row>
    <row r="513" spans="1:3" ht="15.6" x14ac:dyDescent="0.3">
      <c r="A513" s="23" t="s">
        <v>93</v>
      </c>
      <c r="B513" s="23" t="s">
        <v>128</v>
      </c>
      <c r="C513" s="23">
        <v>11806</v>
      </c>
    </row>
    <row r="514" spans="1:3" ht="15.6" x14ac:dyDescent="0.3">
      <c r="A514" s="23" t="s">
        <v>95</v>
      </c>
      <c r="B514" s="23" t="s">
        <v>152</v>
      </c>
      <c r="C514" s="23">
        <v>11808</v>
      </c>
    </row>
    <row r="515" spans="1:3" ht="15.6" x14ac:dyDescent="0.3">
      <c r="A515" s="23" t="s">
        <v>113</v>
      </c>
      <c r="B515" s="23" t="s">
        <v>152</v>
      </c>
      <c r="C515" s="23">
        <v>11817</v>
      </c>
    </row>
    <row r="516" spans="1:3" ht="15.6" x14ac:dyDescent="0.3">
      <c r="A516" s="23" t="s">
        <v>95</v>
      </c>
      <c r="B516" s="23" t="s">
        <v>150</v>
      </c>
      <c r="C516" s="23">
        <v>11833</v>
      </c>
    </row>
    <row r="517" spans="1:3" ht="15.6" x14ac:dyDescent="0.3">
      <c r="A517" s="23" t="s">
        <v>93</v>
      </c>
      <c r="B517" s="23" t="s">
        <v>152</v>
      </c>
      <c r="C517" s="23">
        <v>11838</v>
      </c>
    </row>
    <row r="518" spans="1:3" ht="15.6" x14ac:dyDescent="0.3">
      <c r="A518" s="23" t="s">
        <v>93</v>
      </c>
      <c r="B518" s="23" t="s">
        <v>128</v>
      </c>
      <c r="C518" s="23">
        <v>11875</v>
      </c>
    </row>
    <row r="519" spans="1:3" ht="15.6" x14ac:dyDescent="0.3">
      <c r="A519" s="23" t="s">
        <v>95</v>
      </c>
      <c r="B519" s="23" t="s">
        <v>128</v>
      </c>
      <c r="C519" s="23">
        <v>11891</v>
      </c>
    </row>
    <row r="520" spans="1:3" ht="15.6" x14ac:dyDescent="0.3">
      <c r="A520" s="23" t="s">
        <v>151</v>
      </c>
      <c r="B520" s="23" t="s">
        <v>128</v>
      </c>
      <c r="C520" s="23">
        <v>11965</v>
      </c>
    </row>
    <row r="521" spans="1:3" ht="15.6" x14ac:dyDescent="0.3">
      <c r="A521" s="23" t="s">
        <v>151</v>
      </c>
      <c r="B521" s="23" t="s">
        <v>128</v>
      </c>
      <c r="C521" s="23">
        <v>11966</v>
      </c>
    </row>
    <row r="522" spans="1:3" ht="15.6" x14ac:dyDescent="0.3">
      <c r="A522" s="23" t="s">
        <v>93</v>
      </c>
      <c r="B522" s="23" t="s">
        <v>152</v>
      </c>
      <c r="C522" s="23">
        <v>11977</v>
      </c>
    </row>
    <row r="523" spans="1:3" ht="15.6" x14ac:dyDescent="0.3">
      <c r="A523" s="23" t="s">
        <v>151</v>
      </c>
      <c r="B523" s="23" t="s">
        <v>128</v>
      </c>
      <c r="C523" s="23">
        <v>11997</v>
      </c>
    </row>
    <row r="524" spans="1:3" ht="15.6" x14ac:dyDescent="0.3">
      <c r="A524" s="23" t="s">
        <v>95</v>
      </c>
      <c r="B524" s="23" t="s">
        <v>128</v>
      </c>
      <c r="C524" s="23">
        <v>12008</v>
      </c>
    </row>
    <row r="525" spans="1:3" ht="15.6" x14ac:dyDescent="0.3">
      <c r="A525" s="23" t="s">
        <v>93</v>
      </c>
      <c r="B525" s="23" t="s">
        <v>128</v>
      </c>
      <c r="C525" s="23">
        <v>12017</v>
      </c>
    </row>
    <row r="526" spans="1:3" ht="15.6" x14ac:dyDescent="0.3">
      <c r="A526" s="23" t="s">
        <v>113</v>
      </c>
      <c r="B526" s="23" t="s">
        <v>128</v>
      </c>
      <c r="C526" s="23">
        <v>12017</v>
      </c>
    </row>
    <row r="527" spans="1:3" ht="15.6" x14ac:dyDescent="0.3">
      <c r="A527" s="23" t="s">
        <v>113</v>
      </c>
      <c r="B527" s="23" t="s">
        <v>128</v>
      </c>
      <c r="C527" s="23">
        <v>12018</v>
      </c>
    </row>
    <row r="528" spans="1:3" ht="15.6" x14ac:dyDescent="0.3">
      <c r="A528" s="23" t="s">
        <v>157</v>
      </c>
      <c r="B528" s="23" t="s">
        <v>152</v>
      </c>
      <c r="C528" s="23">
        <v>12020</v>
      </c>
    </row>
    <row r="529" spans="1:3" ht="15.6" x14ac:dyDescent="0.3">
      <c r="A529" s="23" t="s">
        <v>93</v>
      </c>
      <c r="B529" s="23" t="s">
        <v>150</v>
      </c>
      <c r="C529" s="23">
        <v>12028</v>
      </c>
    </row>
    <row r="530" spans="1:3" ht="15.6" x14ac:dyDescent="0.3">
      <c r="A530" s="23" t="s">
        <v>93</v>
      </c>
      <c r="B530" s="23" t="s">
        <v>128</v>
      </c>
      <c r="C530" s="23">
        <v>12039</v>
      </c>
    </row>
    <row r="531" spans="1:3" ht="15.6" x14ac:dyDescent="0.3">
      <c r="A531" s="23" t="s">
        <v>93</v>
      </c>
      <c r="B531" s="23" t="s">
        <v>150</v>
      </c>
      <c r="C531" s="23">
        <v>12045</v>
      </c>
    </row>
    <row r="532" spans="1:3" ht="15.6" x14ac:dyDescent="0.3">
      <c r="A532" s="23" t="s">
        <v>113</v>
      </c>
      <c r="B532" s="23" t="s">
        <v>128</v>
      </c>
      <c r="C532" s="23">
        <v>12047</v>
      </c>
    </row>
    <row r="533" spans="1:3" ht="15.6" x14ac:dyDescent="0.3">
      <c r="A533" s="23" t="s">
        <v>95</v>
      </c>
      <c r="B533" s="23" t="s">
        <v>128</v>
      </c>
      <c r="C533" s="23">
        <v>12057</v>
      </c>
    </row>
    <row r="534" spans="1:3" ht="15.6" x14ac:dyDescent="0.3">
      <c r="A534" s="23" t="s">
        <v>113</v>
      </c>
      <c r="B534" s="23" t="s">
        <v>128</v>
      </c>
      <c r="C534" s="23">
        <v>12064</v>
      </c>
    </row>
    <row r="535" spans="1:3" ht="15.6" x14ac:dyDescent="0.3">
      <c r="A535" s="23" t="s">
        <v>113</v>
      </c>
      <c r="B535" s="23" t="s">
        <v>128</v>
      </c>
      <c r="C535" s="23">
        <v>12073</v>
      </c>
    </row>
    <row r="536" spans="1:3" ht="15.6" x14ac:dyDescent="0.3">
      <c r="A536" s="23" t="s">
        <v>151</v>
      </c>
      <c r="B536" s="23" t="s">
        <v>150</v>
      </c>
      <c r="C536" s="23">
        <v>12081</v>
      </c>
    </row>
    <row r="537" spans="1:3" ht="15.6" x14ac:dyDescent="0.3">
      <c r="A537" s="23" t="s">
        <v>153</v>
      </c>
      <c r="B537" s="23" t="s">
        <v>152</v>
      </c>
      <c r="C537" s="23">
        <v>12091</v>
      </c>
    </row>
    <row r="538" spans="1:3" ht="15.6" x14ac:dyDescent="0.3">
      <c r="A538" s="23" t="s">
        <v>157</v>
      </c>
      <c r="B538" s="23" t="s">
        <v>150</v>
      </c>
      <c r="C538" s="23">
        <v>12094</v>
      </c>
    </row>
    <row r="539" spans="1:3" ht="15.6" x14ac:dyDescent="0.3">
      <c r="A539" s="23" t="s">
        <v>93</v>
      </c>
      <c r="B539" s="23" t="s">
        <v>128</v>
      </c>
      <c r="C539" s="23">
        <v>12095</v>
      </c>
    </row>
    <row r="540" spans="1:3" ht="15.6" x14ac:dyDescent="0.3">
      <c r="A540" s="23" t="s">
        <v>93</v>
      </c>
      <c r="B540" s="23" t="s">
        <v>128</v>
      </c>
      <c r="C540" s="23">
        <v>12098</v>
      </c>
    </row>
    <row r="541" spans="1:3" ht="15.6" x14ac:dyDescent="0.3">
      <c r="A541" s="23" t="s">
        <v>151</v>
      </c>
      <c r="B541" s="23" t="s">
        <v>128</v>
      </c>
      <c r="C541" s="23">
        <v>12185</v>
      </c>
    </row>
    <row r="542" spans="1:3" ht="15.6" x14ac:dyDescent="0.3">
      <c r="A542" s="23" t="s">
        <v>157</v>
      </c>
      <c r="B542" s="23" t="s">
        <v>128</v>
      </c>
      <c r="C542" s="23">
        <v>12195</v>
      </c>
    </row>
    <row r="543" spans="1:3" ht="15.6" x14ac:dyDescent="0.3">
      <c r="A543" s="23" t="s">
        <v>113</v>
      </c>
      <c r="B543" s="23" t="s">
        <v>150</v>
      </c>
      <c r="C543" s="23">
        <v>12204</v>
      </c>
    </row>
    <row r="544" spans="1:3" ht="15.6" x14ac:dyDescent="0.3">
      <c r="A544" s="23" t="s">
        <v>93</v>
      </c>
      <c r="B544" s="23" t="s">
        <v>150</v>
      </c>
      <c r="C544" s="23">
        <v>12215</v>
      </c>
    </row>
    <row r="545" spans="1:3" ht="15.6" x14ac:dyDescent="0.3">
      <c r="A545" s="23" t="s">
        <v>151</v>
      </c>
      <c r="B545" s="23" t="s">
        <v>152</v>
      </c>
      <c r="C545" s="23">
        <v>12257</v>
      </c>
    </row>
    <row r="546" spans="1:3" ht="15.6" x14ac:dyDescent="0.3">
      <c r="A546" s="23" t="s">
        <v>93</v>
      </c>
      <c r="B546" s="23" t="s">
        <v>128</v>
      </c>
      <c r="C546" s="23">
        <v>12266</v>
      </c>
    </row>
    <row r="547" spans="1:3" ht="15.6" x14ac:dyDescent="0.3">
      <c r="A547" s="23" t="s">
        <v>95</v>
      </c>
      <c r="B547" s="23" t="s">
        <v>128</v>
      </c>
      <c r="C547" s="23">
        <v>12306</v>
      </c>
    </row>
    <row r="548" spans="1:3" ht="15.6" x14ac:dyDescent="0.3">
      <c r="A548" s="23" t="s">
        <v>157</v>
      </c>
      <c r="B548" s="23" t="s">
        <v>152</v>
      </c>
      <c r="C548" s="23">
        <v>12318</v>
      </c>
    </row>
    <row r="549" spans="1:3" ht="15.6" x14ac:dyDescent="0.3">
      <c r="A549" s="23" t="s">
        <v>151</v>
      </c>
      <c r="B549" s="23" t="s">
        <v>128</v>
      </c>
      <c r="C549" s="23">
        <v>12352</v>
      </c>
    </row>
    <row r="550" spans="1:3" ht="15.6" x14ac:dyDescent="0.3">
      <c r="A550" s="23" t="s">
        <v>93</v>
      </c>
      <c r="B550" s="23" t="s">
        <v>152</v>
      </c>
      <c r="C550" s="23">
        <v>12411</v>
      </c>
    </row>
    <row r="551" spans="1:3" ht="15.6" x14ac:dyDescent="0.3">
      <c r="A551" s="23" t="s">
        <v>151</v>
      </c>
      <c r="B551" s="23" t="s">
        <v>112</v>
      </c>
      <c r="C551" s="23">
        <v>12474</v>
      </c>
    </row>
    <row r="552" spans="1:3" ht="15.6" x14ac:dyDescent="0.3">
      <c r="A552" s="23" t="s">
        <v>93</v>
      </c>
      <c r="B552" s="23" t="s">
        <v>150</v>
      </c>
      <c r="C552" s="23">
        <v>12483</v>
      </c>
    </row>
    <row r="553" spans="1:3" ht="15.6" x14ac:dyDescent="0.3">
      <c r="A553" s="23" t="s">
        <v>95</v>
      </c>
      <c r="B553" s="23" t="s">
        <v>150</v>
      </c>
      <c r="C553" s="23">
        <v>12498</v>
      </c>
    </row>
    <row r="554" spans="1:3" ht="15.6" x14ac:dyDescent="0.3">
      <c r="A554" s="23" t="s">
        <v>151</v>
      </c>
      <c r="B554" s="23" t="s">
        <v>112</v>
      </c>
      <c r="C554" s="23">
        <v>12501</v>
      </c>
    </row>
    <row r="555" spans="1:3" ht="15.6" x14ac:dyDescent="0.3">
      <c r="A555" s="23" t="s">
        <v>93</v>
      </c>
      <c r="B555" s="23" t="s">
        <v>128</v>
      </c>
      <c r="C555" s="23">
        <v>12507</v>
      </c>
    </row>
    <row r="556" spans="1:3" ht="15.6" x14ac:dyDescent="0.3">
      <c r="A556" s="23" t="s">
        <v>113</v>
      </c>
      <c r="B556" s="23" t="s">
        <v>128</v>
      </c>
      <c r="C556" s="23">
        <v>12507</v>
      </c>
    </row>
    <row r="557" spans="1:3" ht="15.6" x14ac:dyDescent="0.3">
      <c r="A557" s="23" t="s">
        <v>151</v>
      </c>
      <c r="B557" s="23" t="s">
        <v>150</v>
      </c>
      <c r="C557" s="23">
        <v>12511</v>
      </c>
    </row>
    <row r="558" spans="1:3" ht="15.6" x14ac:dyDescent="0.3">
      <c r="A558" s="23" t="s">
        <v>93</v>
      </c>
      <c r="B558" s="23" t="s">
        <v>128</v>
      </c>
      <c r="C558" s="23">
        <v>12535</v>
      </c>
    </row>
    <row r="559" spans="1:3" ht="15.6" x14ac:dyDescent="0.3">
      <c r="A559" s="23" t="s">
        <v>113</v>
      </c>
      <c r="B559" s="23" t="s">
        <v>112</v>
      </c>
      <c r="C559" s="23">
        <v>12541</v>
      </c>
    </row>
    <row r="560" spans="1:3" ht="15.6" x14ac:dyDescent="0.3">
      <c r="A560" s="23" t="s">
        <v>93</v>
      </c>
      <c r="B560" s="23" t="s">
        <v>128</v>
      </c>
      <c r="C560" s="23">
        <v>12545</v>
      </c>
    </row>
    <row r="561" spans="1:3" ht="15.6" x14ac:dyDescent="0.3">
      <c r="A561" s="23" t="s">
        <v>113</v>
      </c>
      <c r="B561" s="23" t="s">
        <v>128</v>
      </c>
      <c r="C561" s="23">
        <v>12551</v>
      </c>
    </row>
    <row r="562" spans="1:3" ht="15.6" x14ac:dyDescent="0.3">
      <c r="A562" s="23" t="s">
        <v>151</v>
      </c>
      <c r="B562" s="23" t="s">
        <v>112</v>
      </c>
      <c r="C562" s="23">
        <v>12553</v>
      </c>
    </row>
    <row r="563" spans="1:3" ht="15.6" x14ac:dyDescent="0.3">
      <c r="A563" s="23" t="s">
        <v>113</v>
      </c>
      <c r="B563" s="23" t="s">
        <v>128</v>
      </c>
      <c r="C563" s="23">
        <v>12556</v>
      </c>
    </row>
    <row r="564" spans="1:3" ht="15.6" x14ac:dyDescent="0.3">
      <c r="A564" s="23" t="s">
        <v>93</v>
      </c>
      <c r="B564" s="23" t="s">
        <v>128</v>
      </c>
      <c r="C564" s="23">
        <v>12572</v>
      </c>
    </row>
    <row r="565" spans="1:3" ht="15.6" x14ac:dyDescent="0.3">
      <c r="A565" s="23" t="s">
        <v>93</v>
      </c>
      <c r="B565" s="23" t="s">
        <v>150</v>
      </c>
      <c r="C565" s="23">
        <v>12582</v>
      </c>
    </row>
    <row r="566" spans="1:3" ht="15.6" x14ac:dyDescent="0.3">
      <c r="A566" s="23" t="s">
        <v>95</v>
      </c>
      <c r="B566" s="23" t="s">
        <v>128</v>
      </c>
      <c r="C566" s="23">
        <v>12587</v>
      </c>
    </row>
    <row r="567" spans="1:3" ht="15.6" x14ac:dyDescent="0.3">
      <c r="A567" s="23" t="s">
        <v>93</v>
      </c>
      <c r="B567" s="23" t="s">
        <v>128</v>
      </c>
      <c r="C567" s="23">
        <v>12598</v>
      </c>
    </row>
    <row r="568" spans="1:3" ht="15.6" x14ac:dyDescent="0.3">
      <c r="A568" s="23" t="s">
        <v>95</v>
      </c>
      <c r="B568" s="23" t="s">
        <v>128</v>
      </c>
      <c r="C568" s="23">
        <v>12610</v>
      </c>
    </row>
    <row r="569" spans="1:3" ht="15.6" x14ac:dyDescent="0.3">
      <c r="A569" s="23" t="s">
        <v>113</v>
      </c>
      <c r="B569" s="23" t="s">
        <v>152</v>
      </c>
      <c r="C569" s="23">
        <v>12615</v>
      </c>
    </row>
    <row r="570" spans="1:3" ht="15.6" x14ac:dyDescent="0.3">
      <c r="A570" s="23" t="s">
        <v>157</v>
      </c>
      <c r="B570" s="23" t="s">
        <v>150</v>
      </c>
      <c r="C570" s="23">
        <v>12677</v>
      </c>
    </row>
    <row r="571" spans="1:3" ht="15.6" x14ac:dyDescent="0.3">
      <c r="A571" s="23" t="s">
        <v>113</v>
      </c>
      <c r="B571" s="23" t="s">
        <v>152</v>
      </c>
      <c r="C571" s="23">
        <v>12689</v>
      </c>
    </row>
    <row r="572" spans="1:3" ht="15.6" x14ac:dyDescent="0.3">
      <c r="A572" s="23" t="s">
        <v>157</v>
      </c>
      <c r="B572" s="23" t="s">
        <v>150</v>
      </c>
      <c r="C572" s="23">
        <v>12723</v>
      </c>
    </row>
    <row r="573" spans="1:3" ht="15.6" x14ac:dyDescent="0.3">
      <c r="A573" s="23" t="s">
        <v>113</v>
      </c>
      <c r="B573" s="23" t="s">
        <v>150</v>
      </c>
      <c r="C573" s="23">
        <v>12732</v>
      </c>
    </row>
    <row r="574" spans="1:3" ht="15.6" x14ac:dyDescent="0.3">
      <c r="A574" s="23" t="s">
        <v>157</v>
      </c>
      <c r="B574" s="23" t="s">
        <v>150</v>
      </c>
      <c r="C574" s="23">
        <v>12754</v>
      </c>
    </row>
    <row r="575" spans="1:3" ht="15.6" x14ac:dyDescent="0.3">
      <c r="A575" s="23" t="s">
        <v>157</v>
      </c>
      <c r="B575" s="23" t="s">
        <v>150</v>
      </c>
      <c r="C575" s="23">
        <v>12761</v>
      </c>
    </row>
    <row r="576" spans="1:3" ht="15.6" x14ac:dyDescent="0.3">
      <c r="A576" s="23" t="s">
        <v>93</v>
      </c>
      <c r="B576" s="23" t="s">
        <v>150</v>
      </c>
      <c r="C576" s="23">
        <v>12767</v>
      </c>
    </row>
    <row r="577" spans="1:3" ht="15.6" x14ac:dyDescent="0.3">
      <c r="A577" s="23" t="s">
        <v>157</v>
      </c>
      <c r="B577" s="23" t="s">
        <v>128</v>
      </c>
      <c r="C577" s="23">
        <v>12800</v>
      </c>
    </row>
    <row r="578" spans="1:3" ht="15.6" x14ac:dyDescent="0.3">
      <c r="A578" s="23" t="s">
        <v>113</v>
      </c>
      <c r="B578" s="23" t="s">
        <v>150</v>
      </c>
      <c r="C578" s="23">
        <v>12825</v>
      </c>
    </row>
    <row r="579" spans="1:3" ht="15.6" x14ac:dyDescent="0.3">
      <c r="A579" s="23" t="s">
        <v>151</v>
      </c>
      <c r="B579" s="23" t="s">
        <v>128</v>
      </c>
      <c r="C579" s="23">
        <v>12834</v>
      </c>
    </row>
    <row r="580" spans="1:3" ht="15.6" x14ac:dyDescent="0.3">
      <c r="A580" s="23" t="s">
        <v>93</v>
      </c>
      <c r="B580" s="23" t="s">
        <v>150</v>
      </c>
      <c r="C580" s="23">
        <v>12843</v>
      </c>
    </row>
    <row r="581" spans="1:3" ht="15.6" x14ac:dyDescent="0.3">
      <c r="A581" s="23" t="s">
        <v>93</v>
      </c>
      <c r="B581" s="23" t="s">
        <v>150</v>
      </c>
      <c r="C581" s="23">
        <v>12886</v>
      </c>
    </row>
    <row r="582" spans="1:3" ht="15.6" x14ac:dyDescent="0.3">
      <c r="A582" s="23" t="s">
        <v>113</v>
      </c>
      <c r="B582" s="23" t="s">
        <v>150</v>
      </c>
      <c r="C582" s="23">
        <v>12921</v>
      </c>
    </row>
    <row r="583" spans="1:3" ht="15.6" x14ac:dyDescent="0.3">
      <c r="A583" s="23" t="s">
        <v>151</v>
      </c>
      <c r="B583" s="23" t="s">
        <v>152</v>
      </c>
      <c r="C583" s="23">
        <v>12932</v>
      </c>
    </row>
    <row r="584" spans="1:3" ht="15.6" x14ac:dyDescent="0.3">
      <c r="A584" s="23" t="s">
        <v>93</v>
      </c>
      <c r="B584" s="23" t="s">
        <v>128</v>
      </c>
      <c r="C584" s="23">
        <v>12944</v>
      </c>
    </row>
    <row r="585" spans="1:3" ht="15.6" x14ac:dyDescent="0.3">
      <c r="A585" s="23" t="s">
        <v>157</v>
      </c>
      <c r="B585" s="23" t="s">
        <v>150</v>
      </c>
      <c r="C585" s="23">
        <v>12965</v>
      </c>
    </row>
    <row r="586" spans="1:3" ht="15.6" x14ac:dyDescent="0.3">
      <c r="A586" s="23" t="s">
        <v>95</v>
      </c>
      <c r="B586" s="23" t="s">
        <v>128</v>
      </c>
      <c r="C586" s="23">
        <v>13001</v>
      </c>
    </row>
    <row r="587" spans="1:3" ht="15.6" x14ac:dyDescent="0.3">
      <c r="A587" s="23" t="s">
        <v>95</v>
      </c>
      <c r="B587" s="23" t="s">
        <v>128</v>
      </c>
      <c r="C587" s="23">
        <v>13012</v>
      </c>
    </row>
    <row r="588" spans="1:3" ht="15.6" x14ac:dyDescent="0.3">
      <c r="A588" s="23" t="s">
        <v>157</v>
      </c>
      <c r="B588" s="23" t="s">
        <v>152</v>
      </c>
      <c r="C588" s="23">
        <v>13023</v>
      </c>
    </row>
    <row r="589" spans="1:3" ht="15.6" x14ac:dyDescent="0.3">
      <c r="A589" s="23" t="s">
        <v>92</v>
      </c>
      <c r="B589" s="23" t="s">
        <v>128</v>
      </c>
      <c r="C589" s="23">
        <v>13023</v>
      </c>
    </row>
    <row r="590" spans="1:3" ht="15.6" x14ac:dyDescent="0.3">
      <c r="A590" s="23" t="s">
        <v>113</v>
      </c>
      <c r="B590" s="23" t="s">
        <v>150</v>
      </c>
      <c r="C590" s="23">
        <v>13031</v>
      </c>
    </row>
    <row r="591" spans="1:3" ht="15.6" x14ac:dyDescent="0.3">
      <c r="A591" s="23" t="s">
        <v>94</v>
      </c>
      <c r="B591" s="23" t="s">
        <v>128</v>
      </c>
      <c r="C591" s="23">
        <v>13038</v>
      </c>
    </row>
    <row r="592" spans="1:3" ht="15.6" x14ac:dyDescent="0.3">
      <c r="A592" s="23" t="s">
        <v>93</v>
      </c>
      <c r="B592" s="23" t="s">
        <v>152</v>
      </c>
      <c r="C592" s="23">
        <v>13044</v>
      </c>
    </row>
    <row r="593" spans="1:3" ht="15.6" x14ac:dyDescent="0.3">
      <c r="A593" s="23" t="s">
        <v>95</v>
      </c>
      <c r="B593" s="23" t="s">
        <v>128</v>
      </c>
      <c r="C593" s="23">
        <v>13044</v>
      </c>
    </row>
    <row r="594" spans="1:3" ht="15.6" x14ac:dyDescent="0.3">
      <c r="A594" s="23" t="s">
        <v>113</v>
      </c>
      <c r="B594" s="23" t="s">
        <v>128</v>
      </c>
      <c r="C594" s="23">
        <v>13058</v>
      </c>
    </row>
    <row r="595" spans="1:3" ht="15.6" x14ac:dyDescent="0.3">
      <c r="A595" s="23" t="s">
        <v>151</v>
      </c>
      <c r="B595" s="23" t="s">
        <v>128</v>
      </c>
      <c r="C595" s="23">
        <v>13067</v>
      </c>
    </row>
    <row r="596" spans="1:3" ht="15.6" x14ac:dyDescent="0.3">
      <c r="A596" s="23" t="s">
        <v>93</v>
      </c>
      <c r="B596" s="23" t="s">
        <v>128</v>
      </c>
      <c r="C596" s="23">
        <v>13068</v>
      </c>
    </row>
    <row r="597" spans="1:3" ht="15.6" x14ac:dyDescent="0.3">
      <c r="A597" s="23" t="s">
        <v>93</v>
      </c>
      <c r="B597" s="23" t="s">
        <v>128</v>
      </c>
      <c r="C597" s="23">
        <v>13069</v>
      </c>
    </row>
    <row r="598" spans="1:3" ht="15.6" x14ac:dyDescent="0.3">
      <c r="A598" s="23" t="s">
        <v>151</v>
      </c>
      <c r="B598" s="23" t="s">
        <v>128</v>
      </c>
      <c r="C598" s="23">
        <v>13070</v>
      </c>
    </row>
    <row r="599" spans="1:3" ht="15.6" x14ac:dyDescent="0.3">
      <c r="A599" s="23" t="s">
        <v>151</v>
      </c>
      <c r="B599" s="23" t="s">
        <v>150</v>
      </c>
      <c r="C599" s="23">
        <v>13093</v>
      </c>
    </row>
    <row r="600" spans="1:3" ht="15.6" x14ac:dyDescent="0.3">
      <c r="A600" s="23" t="s">
        <v>113</v>
      </c>
      <c r="B600" s="23" t="s">
        <v>128</v>
      </c>
      <c r="C600" s="23">
        <v>13094</v>
      </c>
    </row>
    <row r="601" spans="1:3" ht="15.6" x14ac:dyDescent="0.3">
      <c r="A601" s="23" t="s">
        <v>93</v>
      </c>
      <c r="B601" s="23" t="s">
        <v>128</v>
      </c>
      <c r="C601" s="23">
        <v>13140</v>
      </c>
    </row>
    <row r="602" spans="1:3" ht="15.6" x14ac:dyDescent="0.3">
      <c r="A602" s="23" t="s">
        <v>113</v>
      </c>
      <c r="B602" s="23" t="s">
        <v>128</v>
      </c>
      <c r="C602" s="23">
        <v>13151</v>
      </c>
    </row>
    <row r="603" spans="1:3" ht="15.6" x14ac:dyDescent="0.3">
      <c r="A603" s="23" t="s">
        <v>157</v>
      </c>
      <c r="B603" s="23" t="s">
        <v>152</v>
      </c>
      <c r="C603" s="23">
        <v>13181</v>
      </c>
    </row>
    <row r="604" spans="1:3" ht="15.6" x14ac:dyDescent="0.3">
      <c r="A604" s="23" t="s">
        <v>92</v>
      </c>
      <c r="B604" s="23" t="s">
        <v>128</v>
      </c>
      <c r="C604" s="23">
        <v>13194</v>
      </c>
    </row>
    <row r="605" spans="1:3" ht="15.6" x14ac:dyDescent="0.3">
      <c r="A605" s="23" t="s">
        <v>151</v>
      </c>
      <c r="B605" s="23" t="s">
        <v>128</v>
      </c>
      <c r="C605" s="23">
        <v>13208</v>
      </c>
    </row>
    <row r="606" spans="1:3" ht="15.6" x14ac:dyDescent="0.3">
      <c r="A606" s="23" t="s">
        <v>157</v>
      </c>
      <c r="B606" s="23" t="s">
        <v>150</v>
      </c>
      <c r="C606" s="23">
        <v>13218</v>
      </c>
    </row>
    <row r="607" spans="1:3" ht="15.6" x14ac:dyDescent="0.3">
      <c r="A607" s="23" t="s">
        <v>153</v>
      </c>
      <c r="B607" s="23" t="s">
        <v>152</v>
      </c>
      <c r="C607" s="23">
        <v>13405</v>
      </c>
    </row>
    <row r="608" spans="1:3" ht="15.6" x14ac:dyDescent="0.3">
      <c r="A608" s="23" t="s">
        <v>93</v>
      </c>
      <c r="B608" s="23" t="s">
        <v>128</v>
      </c>
      <c r="C608" s="23">
        <v>13443</v>
      </c>
    </row>
    <row r="609" spans="1:3" ht="15.6" x14ac:dyDescent="0.3">
      <c r="A609" s="23" t="s">
        <v>113</v>
      </c>
      <c r="B609" s="23" t="s">
        <v>128</v>
      </c>
      <c r="C609" s="23">
        <v>13476</v>
      </c>
    </row>
    <row r="610" spans="1:3" ht="15.6" x14ac:dyDescent="0.3">
      <c r="A610" s="23" t="s">
        <v>93</v>
      </c>
      <c r="B610" s="23" t="s">
        <v>150</v>
      </c>
      <c r="C610" s="23">
        <v>13496</v>
      </c>
    </row>
    <row r="611" spans="1:3" ht="15.6" x14ac:dyDescent="0.3">
      <c r="A611" s="23" t="s">
        <v>113</v>
      </c>
      <c r="B611" s="23" t="s">
        <v>152</v>
      </c>
      <c r="C611" s="23">
        <v>13529</v>
      </c>
    </row>
    <row r="612" spans="1:3" ht="15.6" x14ac:dyDescent="0.3">
      <c r="A612" s="23" t="s">
        <v>157</v>
      </c>
      <c r="B612" s="23" t="s">
        <v>128</v>
      </c>
      <c r="C612" s="23">
        <v>13532</v>
      </c>
    </row>
    <row r="613" spans="1:3" ht="15.6" x14ac:dyDescent="0.3">
      <c r="A613" s="23" t="s">
        <v>93</v>
      </c>
      <c r="B613" s="23" t="s">
        <v>128</v>
      </c>
      <c r="C613" s="23">
        <v>13536</v>
      </c>
    </row>
    <row r="614" spans="1:3" ht="15.6" x14ac:dyDescent="0.3">
      <c r="A614" s="23" t="s">
        <v>113</v>
      </c>
      <c r="B614" s="23" t="s">
        <v>152</v>
      </c>
      <c r="C614" s="23">
        <v>13546</v>
      </c>
    </row>
    <row r="615" spans="1:3" ht="15.6" x14ac:dyDescent="0.3">
      <c r="A615" s="23" t="s">
        <v>93</v>
      </c>
      <c r="B615" s="23" t="s">
        <v>128</v>
      </c>
      <c r="C615" s="23">
        <v>13554</v>
      </c>
    </row>
    <row r="616" spans="1:3" ht="15.6" x14ac:dyDescent="0.3">
      <c r="A616" s="23" t="s">
        <v>93</v>
      </c>
      <c r="B616" s="23" t="s">
        <v>128</v>
      </c>
      <c r="C616" s="23">
        <v>13573</v>
      </c>
    </row>
    <row r="617" spans="1:3" ht="15.6" x14ac:dyDescent="0.3">
      <c r="A617" s="23" t="s">
        <v>93</v>
      </c>
      <c r="B617" s="23" t="s">
        <v>128</v>
      </c>
      <c r="C617" s="23">
        <v>13574</v>
      </c>
    </row>
    <row r="618" spans="1:3" ht="15.6" x14ac:dyDescent="0.3">
      <c r="A618" s="23" t="s">
        <v>93</v>
      </c>
      <c r="B618" s="23" t="s">
        <v>128</v>
      </c>
      <c r="C618" s="23">
        <v>13574</v>
      </c>
    </row>
    <row r="619" spans="1:3" ht="15.6" x14ac:dyDescent="0.3">
      <c r="A619" s="23" t="s">
        <v>113</v>
      </c>
      <c r="B619" s="23" t="s">
        <v>128</v>
      </c>
      <c r="C619" s="23">
        <v>13577</v>
      </c>
    </row>
    <row r="620" spans="1:3" ht="15.6" x14ac:dyDescent="0.3">
      <c r="A620" s="23" t="s">
        <v>93</v>
      </c>
      <c r="B620" s="23" t="s">
        <v>128</v>
      </c>
      <c r="C620" s="23">
        <v>13598</v>
      </c>
    </row>
    <row r="621" spans="1:3" ht="15.6" x14ac:dyDescent="0.3">
      <c r="A621" s="23" t="s">
        <v>113</v>
      </c>
      <c r="B621" s="23" t="s">
        <v>128</v>
      </c>
      <c r="C621" s="23">
        <v>13603</v>
      </c>
    </row>
    <row r="622" spans="1:3" ht="15.6" x14ac:dyDescent="0.3">
      <c r="A622" s="23" t="s">
        <v>95</v>
      </c>
      <c r="B622" s="23" t="s">
        <v>128</v>
      </c>
      <c r="C622" s="23">
        <v>13604</v>
      </c>
    </row>
    <row r="623" spans="1:3" ht="15.6" x14ac:dyDescent="0.3">
      <c r="A623" s="23" t="s">
        <v>113</v>
      </c>
      <c r="B623" s="23" t="s">
        <v>128</v>
      </c>
      <c r="C623" s="23">
        <v>13604</v>
      </c>
    </row>
    <row r="624" spans="1:3" ht="15.6" x14ac:dyDescent="0.3">
      <c r="A624" s="23" t="s">
        <v>95</v>
      </c>
      <c r="B624" s="23" t="s">
        <v>128</v>
      </c>
      <c r="C624" s="23">
        <v>13613</v>
      </c>
    </row>
    <row r="625" spans="1:3" ht="15.6" x14ac:dyDescent="0.3">
      <c r="A625" s="23" t="s">
        <v>157</v>
      </c>
      <c r="B625" s="23" t="s">
        <v>128</v>
      </c>
      <c r="C625" s="23">
        <v>13616</v>
      </c>
    </row>
    <row r="626" spans="1:3" ht="15.6" x14ac:dyDescent="0.3">
      <c r="A626" s="23" t="s">
        <v>151</v>
      </c>
      <c r="B626" s="23" t="s">
        <v>128</v>
      </c>
      <c r="C626" s="23">
        <v>13665</v>
      </c>
    </row>
    <row r="627" spans="1:3" ht="15.6" x14ac:dyDescent="0.3">
      <c r="A627" s="23" t="s">
        <v>157</v>
      </c>
      <c r="B627" s="23" t="s">
        <v>152</v>
      </c>
      <c r="C627" s="23">
        <v>13674</v>
      </c>
    </row>
    <row r="628" spans="1:3" ht="15.6" x14ac:dyDescent="0.3">
      <c r="A628" s="23" t="s">
        <v>93</v>
      </c>
      <c r="B628" s="23" t="s">
        <v>152</v>
      </c>
      <c r="C628" s="23">
        <v>13685</v>
      </c>
    </row>
    <row r="629" spans="1:3" ht="15.6" x14ac:dyDescent="0.3">
      <c r="A629" s="23" t="s">
        <v>157</v>
      </c>
      <c r="B629" s="23" t="s">
        <v>128</v>
      </c>
      <c r="C629" s="23">
        <v>13697</v>
      </c>
    </row>
    <row r="630" spans="1:3" ht="15.6" x14ac:dyDescent="0.3">
      <c r="A630" s="23" t="s">
        <v>113</v>
      </c>
      <c r="B630" s="23" t="s">
        <v>128</v>
      </c>
      <c r="C630" s="23">
        <v>13704</v>
      </c>
    </row>
    <row r="631" spans="1:3" ht="15.6" x14ac:dyDescent="0.3">
      <c r="A631" s="23" t="s">
        <v>151</v>
      </c>
      <c r="B631" s="23" t="s">
        <v>152</v>
      </c>
      <c r="C631" s="23">
        <v>13712</v>
      </c>
    </row>
    <row r="632" spans="1:3" ht="15.6" x14ac:dyDescent="0.3">
      <c r="A632" s="23" t="s">
        <v>93</v>
      </c>
      <c r="B632" s="23" t="s">
        <v>128</v>
      </c>
      <c r="C632" s="23">
        <v>13715</v>
      </c>
    </row>
    <row r="633" spans="1:3" ht="15.6" x14ac:dyDescent="0.3">
      <c r="A633" s="23" t="s">
        <v>113</v>
      </c>
      <c r="B633" s="23" t="s">
        <v>128</v>
      </c>
      <c r="C633" s="23">
        <v>13726</v>
      </c>
    </row>
    <row r="634" spans="1:3" ht="15.6" x14ac:dyDescent="0.3">
      <c r="A634" s="23" t="s">
        <v>157</v>
      </c>
      <c r="B634" s="23" t="s">
        <v>150</v>
      </c>
      <c r="C634" s="23">
        <v>13842</v>
      </c>
    </row>
    <row r="635" spans="1:3" ht="15.6" x14ac:dyDescent="0.3">
      <c r="A635" s="23" t="s">
        <v>113</v>
      </c>
      <c r="B635" s="23" t="s">
        <v>150</v>
      </c>
      <c r="C635" s="23">
        <v>13903</v>
      </c>
    </row>
    <row r="636" spans="1:3" ht="15.6" x14ac:dyDescent="0.3">
      <c r="A636" s="23" t="s">
        <v>157</v>
      </c>
      <c r="B636" s="23" t="s">
        <v>152</v>
      </c>
      <c r="C636" s="23">
        <v>13904</v>
      </c>
    </row>
    <row r="637" spans="1:3" ht="15.6" x14ac:dyDescent="0.3">
      <c r="A637" s="23" t="s">
        <v>151</v>
      </c>
      <c r="B637" s="23" t="s">
        <v>128</v>
      </c>
      <c r="C637" s="23">
        <v>13936</v>
      </c>
    </row>
    <row r="638" spans="1:3" ht="15.6" x14ac:dyDescent="0.3">
      <c r="A638" s="23" t="s">
        <v>113</v>
      </c>
      <c r="B638" s="23" t="s">
        <v>128</v>
      </c>
      <c r="C638" s="23">
        <v>13938</v>
      </c>
    </row>
    <row r="639" spans="1:3" ht="15.6" x14ac:dyDescent="0.3">
      <c r="A639" s="23" t="s">
        <v>113</v>
      </c>
      <c r="B639" s="23" t="s">
        <v>128</v>
      </c>
      <c r="C639" s="23">
        <v>13975</v>
      </c>
    </row>
    <row r="640" spans="1:3" ht="15.6" x14ac:dyDescent="0.3">
      <c r="A640" s="23" t="s">
        <v>95</v>
      </c>
      <c r="B640" s="23" t="s">
        <v>128</v>
      </c>
      <c r="C640" s="23">
        <v>14001</v>
      </c>
    </row>
    <row r="641" spans="1:3" ht="15.6" x14ac:dyDescent="0.3">
      <c r="A641" s="23" t="s">
        <v>93</v>
      </c>
      <c r="B641" s="23" t="s">
        <v>152</v>
      </c>
      <c r="C641" s="23">
        <v>14018</v>
      </c>
    </row>
    <row r="642" spans="1:3" ht="15.6" x14ac:dyDescent="0.3">
      <c r="A642" s="23" t="s">
        <v>93</v>
      </c>
      <c r="B642" s="23" t="s">
        <v>128</v>
      </c>
      <c r="C642" s="23">
        <v>14111</v>
      </c>
    </row>
    <row r="643" spans="1:3" ht="15.6" x14ac:dyDescent="0.3">
      <c r="A643" s="23" t="s">
        <v>95</v>
      </c>
      <c r="B643" s="23" t="s">
        <v>128</v>
      </c>
      <c r="C643" s="23">
        <v>14183</v>
      </c>
    </row>
    <row r="644" spans="1:3" ht="15.6" x14ac:dyDescent="0.3">
      <c r="A644" s="23" t="s">
        <v>93</v>
      </c>
      <c r="B644" s="23" t="s">
        <v>150</v>
      </c>
      <c r="C644" s="23">
        <v>14251</v>
      </c>
    </row>
    <row r="645" spans="1:3" ht="15.6" x14ac:dyDescent="0.3">
      <c r="A645" s="23" t="s">
        <v>95</v>
      </c>
      <c r="B645" s="23" t="s">
        <v>128</v>
      </c>
      <c r="C645" s="23">
        <v>14260</v>
      </c>
    </row>
    <row r="646" spans="1:3" ht="15.6" x14ac:dyDescent="0.3">
      <c r="A646" s="23" t="s">
        <v>95</v>
      </c>
      <c r="B646" s="23" t="s">
        <v>150</v>
      </c>
      <c r="C646" s="23">
        <v>14325</v>
      </c>
    </row>
    <row r="647" spans="1:3" ht="15.6" x14ac:dyDescent="0.3">
      <c r="A647" s="23" t="s">
        <v>151</v>
      </c>
      <c r="B647" s="23" t="s">
        <v>150</v>
      </c>
      <c r="C647" s="23">
        <v>14361</v>
      </c>
    </row>
    <row r="648" spans="1:3" ht="15.6" x14ac:dyDescent="0.3">
      <c r="A648" s="23" t="s">
        <v>151</v>
      </c>
      <c r="B648" s="23" t="s">
        <v>150</v>
      </c>
      <c r="C648" s="23">
        <v>14475</v>
      </c>
    </row>
    <row r="649" spans="1:3" ht="15.6" x14ac:dyDescent="0.3">
      <c r="A649" s="23" t="s">
        <v>93</v>
      </c>
      <c r="B649" s="23" t="s">
        <v>150</v>
      </c>
      <c r="C649" s="23">
        <v>14522</v>
      </c>
    </row>
    <row r="650" spans="1:3" ht="15.6" x14ac:dyDescent="0.3">
      <c r="A650" s="23" t="s">
        <v>151</v>
      </c>
      <c r="B650" s="23" t="s">
        <v>150</v>
      </c>
      <c r="C650" s="23">
        <v>14526</v>
      </c>
    </row>
    <row r="651" spans="1:3" ht="15.6" x14ac:dyDescent="0.3">
      <c r="A651" s="23" t="s">
        <v>157</v>
      </c>
      <c r="B651" s="23" t="s">
        <v>152</v>
      </c>
      <c r="C651" s="23">
        <v>14571</v>
      </c>
    </row>
    <row r="652" spans="1:3" ht="15.6" x14ac:dyDescent="0.3">
      <c r="A652" s="23" t="s">
        <v>151</v>
      </c>
      <c r="B652" s="23" t="s">
        <v>152</v>
      </c>
      <c r="C652" s="23">
        <v>14582</v>
      </c>
    </row>
    <row r="653" spans="1:3" ht="15.6" x14ac:dyDescent="0.3">
      <c r="A653" s="23" t="s">
        <v>93</v>
      </c>
      <c r="B653" s="23" t="s">
        <v>128</v>
      </c>
      <c r="C653" s="23">
        <v>14591</v>
      </c>
    </row>
    <row r="654" spans="1:3" ht="15.6" x14ac:dyDescent="0.3">
      <c r="A654" s="23" t="s">
        <v>93</v>
      </c>
      <c r="B654" s="23" t="s">
        <v>128</v>
      </c>
      <c r="C654" s="23">
        <v>14601</v>
      </c>
    </row>
    <row r="655" spans="1:3" ht="15.6" x14ac:dyDescent="0.3">
      <c r="A655" s="23" t="s">
        <v>157</v>
      </c>
      <c r="B655" s="23" t="s">
        <v>128</v>
      </c>
      <c r="C655" s="23">
        <v>14613</v>
      </c>
    </row>
    <row r="656" spans="1:3" ht="15.6" x14ac:dyDescent="0.3">
      <c r="A656" s="23" t="s">
        <v>94</v>
      </c>
      <c r="B656" s="23" t="s">
        <v>152</v>
      </c>
      <c r="C656" s="23">
        <v>14613</v>
      </c>
    </row>
    <row r="657" spans="1:3" ht="15.6" x14ac:dyDescent="0.3">
      <c r="A657" s="23" t="s">
        <v>113</v>
      </c>
      <c r="B657" s="23" t="s">
        <v>128</v>
      </c>
      <c r="C657" s="23">
        <v>14624</v>
      </c>
    </row>
    <row r="658" spans="1:3" ht="15.6" x14ac:dyDescent="0.3">
      <c r="A658" s="23" t="s">
        <v>157</v>
      </c>
      <c r="B658" s="23" t="s">
        <v>152</v>
      </c>
      <c r="C658" s="23">
        <v>14648</v>
      </c>
    </row>
    <row r="659" spans="1:3" ht="15.6" x14ac:dyDescent="0.3">
      <c r="A659" s="23" t="s">
        <v>151</v>
      </c>
      <c r="B659" s="23" t="s">
        <v>128</v>
      </c>
      <c r="C659" s="23">
        <v>14659</v>
      </c>
    </row>
    <row r="660" spans="1:3" ht="15.6" x14ac:dyDescent="0.3">
      <c r="A660" s="23" t="s">
        <v>94</v>
      </c>
      <c r="B660" s="23" t="s">
        <v>128</v>
      </c>
      <c r="C660" s="23">
        <v>14678</v>
      </c>
    </row>
    <row r="661" spans="1:3" ht="15.6" x14ac:dyDescent="0.3">
      <c r="A661" s="23" t="s">
        <v>113</v>
      </c>
      <c r="B661" s="23" t="s">
        <v>150</v>
      </c>
      <c r="C661" s="23">
        <v>14721</v>
      </c>
    </row>
    <row r="662" spans="1:3" ht="15.6" x14ac:dyDescent="0.3">
      <c r="A662" s="23" t="s">
        <v>151</v>
      </c>
      <c r="B662" s="23" t="s">
        <v>128</v>
      </c>
      <c r="C662" s="23">
        <v>14732</v>
      </c>
    </row>
    <row r="663" spans="1:3" ht="15.6" x14ac:dyDescent="0.3">
      <c r="A663" s="23" t="s">
        <v>151</v>
      </c>
      <c r="B663" s="23" t="s">
        <v>152</v>
      </c>
      <c r="C663" s="23">
        <v>14738</v>
      </c>
    </row>
    <row r="664" spans="1:3" ht="15.6" x14ac:dyDescent="0.3">
      <c r="A664" s="23" t="s">
        <v>113</v>
      </c>
      <c r="B664" s="23" t="s">
        <v>128</v>
      </c>
      <c r="C664" s="23">
        <v>14739</v>
      </c>
    </row>
    <row r="665" spans="1:3" ht="15.6" x14ac:dyDescent="0.3">
      <c r="A665" s="23" t="s">
        <v>95</v>
      </c>
      <c r="B665" s="23" t="s">
        <v>150</v>
      </c>
      <c r="C665" s="23">
        <v>14748</v>
      </c>
    </row>
    <row r="666" spans="1:3" ht="15.6" x14ac:dyDescent="0.3">
      <c r="A666" s="23" t="s">
        <v>95</v>
      </c>
      <c r="B666" s="23" t="s">
        <v>150</v>
      </c>
      <c r="C666" s="23">
        <v>14756</v>
      </c>
    </row>
    <row r="667" spans="1:3" ht="15.6" x14ac:dyDescent="0.3">
      <c r="A667" s="23" t="s">
        <v>93</v>
      </c>
      <c r="B667" s="23" t="s">
        <v>128</v>
      </c>
      <c r="C667" s="23">
        <v>14761</v>
      </c>
    </row>
    <row r="668" spans="1:3" ht="15.6" x14ac:dyDescent="0.3">
      <c r="A668" s="23" t="s">
        <v>151</v>
      </c>
      <c r="B668" s="23" t="s">
        <v>150</v>
      </c>
      <c r="C668" s="23">
        <v>14812</v>
      </c>
    </row>
    <row r="669" spans="1:3" ht="15.6" x14ac:dyDescent="0.3">
      <c r="A669" s="23" t="s">
        <v>93</v>
      </c>
      <c r="B669" s="23" t="s">
        <v>152</v>
      </c>
      <c r="C669" s="23">
        <v>14817</v>
      </c>
    </row>
    <row r="670" spans="1:3" ht="15.6" x14ac:dyDescent="0.3">
      <c r="A670" s="23" t="s">
        <v>113</v>
      </c>
      <c r="B670" s="23" t="s">
        <v>150</v>
      </c>
      <c r="C670" s="23">
        <v>14825</v>
      </c>
    </row>
    <row r="671" spans="1:3" ht="15.6" x14ac:dyDescent="0.3">
      <c r="A671" s="23" t="s">
        <v>157</v>
      </c>
      <c r="B671" s="23" t="s">
        <v>152</v>
      </c>
      <c r="C671" s="23">
        <v>14853</v>
      </c>
    </row>
    <row r="672" spans="1:3" ht="15.6" x14ac:dyDescent="0.3">
      <c r="A672" s="23" t="s">
        <v>93</v>
      </c>
      <c r="B672" s="23" t="s">
        <v>128</v>
      </c>
      <c r="C672" s="23">
        <v>14860</v>
      </c>
    </row>
    <row r="673" spans="1:3" ht="15.6" x14ac:dyDescent="0.3">
      <c r="A673" s="23" t="s">
        <v>93</v>
      </c>
      <c r="B673" s="23" t="s">
        <v>152</v>
      </c>
      <c r="C673" s="23">
        <v>14890</v>
      </c>
    </row>
    <row r="674" spans="1:3" ht="15.6" x14ac:dyDescent="0.3">
      <c r="A674" s="23" t="s">
        <v>95</v>
      </c>
      <c r="B674" s="23" t="s">
        <v>152</v>
      </c>
      <c r="C674" s="23">
        <v>14910</v>
      </c>
    </row>
    <row r="675" spans="1:3" ht="15.6" x14ac:dyDescent="0.3">
      <c r="A675" s="23" t="s">
        <v>151</v>
      </c>
      <c r="B675" s="23" t="s">
        <v>150</v>
      </c>
      <c r="C675" s="23">
        <v>14944</v>
      </c>
    </row>
    <row r="676" spans="1:3" ht="15.6" x14ac:dyDescent="0.3">
      <c r="A676" s="23" t="s">
        <v>153</v>
      </c>
      <c r="B676" s="23" t="s">
        <v>150</v>
      </c>
      <c r="C676" s="23">
        <v>14987</v>
      </c>
    </row>
    <row r="677" spans="1:3" ht="15.6" x14ac:dyDescent="0.3">
      <c r="A677" s="23" t="s">
        <v>92</v>
      </c>
      <c r="B677" s="23" t="s">
        <v>128</v>
      </c>
      <c r="C677" s="23">
        <v>15004</v>
      </c>
    </row>
    <row r="678" spans="1:3" ht="15.6" x14ac:dyDescent="0.3">
      <c r="A678" s="23" t="s">
        <v>95</v>
      </c>
      <c r="B678" s="23" t="s">
        <v>128</v>
      </c>
      <c r="C678" s="23">
        <v>15005</v>
      </c>
    </row>
    <row r="679" spans="1:3" ht="15.6" x14ac:dyDescent="0.3">
      <c r="A679" s="23" t="s">
        <v>151</v>
      </c>
      <c r="B679" s="23" t="s">
        <v>128</v>
      </c>
      <c r="C679" s="23">
        <v>15028</v>
      </c>
    </row>
    <row r="680" spans="1:3" ht="15.6" x14ac:dyDescent="0.3">
      <c r="A680" s="23" t="s">
        <v>93</v>
      </c>
      <c r="B680" s="23" t="s">
        <v>128</v>
      </c>
      <c r="C680" s="23">
        <v>15061</v>
      </c>
    </row>
    <row r="681" spans="1:3" ht="15.6" x14ac:dyDescent="0.3">
      <c r="A681" s="23" t="s">
        <v>157</v>
      </c>
      <c r="B681" s="23" t="s">
        <v>128</v>
      </c>
      <c r="C681" s="23">
        <v>15221</v>
      </c>
    </row>
    <row r="682" spans="1:3" ht="15.6" x14ac:dyDescent="0.3">
      <c r="A682" s="23" t="s">
        <v>157</v>
      </c>
      <c r="B682" s="23" t="s">
        <v>128</v>
      </c>
      <c r="C682" s="23">
        <v>15264</v>
      </c>
    </row>
    <row r="683" spans="1:3" ht="15.6" x14ac:dyDescent="0.3">
      <c r="A683" s="23" t="s">
        <v>93</v>
      </c>
      <c r="B683" s="23" t="s">
        <v>128</v>
      </c>
      <c r="C683" s="23">
        <v>15264</v>
      </c>
    </row>
    <row r="684" spans="1:3" ht="15.6" x14ac:dyDescent="0.3">
      <c r="A684" s="23" t="s">
        <v>157</v>
      </c>
      <c r="B684" s="23" t="s">
        <v>128</v>
      </c>
      <c r="C684" s="23">
        <v>15289</v>
      </c>
    </row>
    <row r="685" spans="1:3" ht="15.6" x14ac:dyDescent="0.3">
      <c r="A685" s="23" t="s">
        <v>94</v>
      </c>
      <c r="B685" s="23" t="s">
        <v>128</v>
      </c>
      <c r="C685" s="23">
        <v>15301</v>
      </c>
    </row>
    <row r="686" spans="1:3" ht="15.6" x14ac:dyDescent="0.3">
      <c r="A686" s="23" t="s">
        <v>113</v>
      </c>
      <c r="B686" s="23" t="s">
        <v>152</v>
      </c>
      <c r="C686" s="23">
        <v>15305</v>
      </c>
    </row>
    <row r="687" spans="1:3" ht="15.6" x14ac:dyDescent="0.3">
      <c r="A687" s="23" t="s">
        <v>93</v>
      </c>
      <c r="B687" s="23" t="s">
        <v>128</v>
      </c>
      <c r="C687" s="23">
        <v>15765</v>
      </c>
    </row>
    <row r="688" spans="1:3" ht="15.6" x14ac:dyDescent="0.3">
      <c r="A688" s="23" t="s">
        <v>93</v>
      </c>
      <c r="B688" s="23" t="s">
        <v>128</v>
      </c>
      <c r="C688" s="23">
        <v>15783</v>
      </c>
    </row>
    <row r="689" spans="1:3" ht="15.6" x14ac:dyDescent="0.3">
      <c r="A689" s="23" t="s">
        <v>157</v>
      </c>
      <c r="B689" s="23" t="s">
        <v>128</v>
      </c>
      <c r="C689" s="23">
        <v>15826</v>
      </c>
    </row>
    <row r="690" spans="1:3" ht="15.6" x14ac:dyDescent="0.3">
      <c r="A690" s="23" t="s">
        <v>157</v>
      </c>
      <c r="B690" s="23" t="s">
        <v>152</v>
      </c>
      <c r="C690" s="23">
        <v>15989</v>
      </c>
    </row>
    <row r="691" spans="1:3" ht="15.6" x14ac:dyDescent="0.3">
      <c r="A691" s="23" t="s">
        <v>151</v>
      </c>
      <c r="B691" s="23" t="s">
        <v>128</v>
      </c>
      <c r="C691" s="23">
        <v>16016</v>
      </c>
    </row>
    <row r="692" spans="1:3" ht="15.6" x14ac:dyDescent="0.3">
      <c r="A692" s="23" t="s">
        <v>113</v>
      </c>
      <c r="B692" s="23" t="s">
        <v>128</v>
      </c>
      <c r="C692" s="23">
        <v>16039</v>
      </c>
    </row>
    <row r="693" spans="1:3" ht="15.6" x14ac:dyDescent="0.3">
      <c r="A693" s="23" t="s">
        <v>95</v>
      </c>
      <c r="B693" s="23" t="s">
        <v>128</v>
      </c>
      <c r="C693" s="23">
        <v>16084</v>
      </c>
    </row>
    <row r="694" spans="1:3" ht="15.6" x14ac:dyDescent="0.3">
      <c r="A694" s="23" t="s">
        <v>92</v>
      </c>
      <c r="B694" s="23" t="s">
        <v>128</v>
      </c>
      <c r="C694" s="23">
        <v>16094</v>
      </c>
    </row>
    <row r="695" spans="1:3" ht="15.6" x14ac:dyDescent="0.3">
      <c r="A695" s="23" t="s">
        <v>92</v>
      </c>
      <c r="B695" s="23" t="s">
        <v>128</v>
      </c>
      <c r="C695" s="23">
        <v>17012</v>
      </c>
    </row>
    <row r="696" spans="1:3" ht="15.6" x14ac:dyDescent="0.3">
      <c r="A696" s="23" t="s">
        <v>157</v>
      </c>
      <c r="B696" s="23" t="s">
        <v>128</v>
      </c>
      <c r="C696" s="23">
        <v>17032</v>
      </c>
    </row>
    <row r="697" spans="1:3" ht="15.6" x14ac:dyDescent="0.3">
      <c r="A697" s="23" t="s">
        <v>151</v>
      </c>
      <c r="B697" s="23" t="s">
        <v>128</v>
      </c>
      <c r="C697" s="23">
        <v>17049</v>
      </c>
    </row>
    <row r="698" spans="1:3" ht="15.6" x14ac:dyDescent="0.3">
      <c r="A698" s="23" t="s">
        <v>93</v>
      </c>
      <c r="B698" s="23" t="s">
        <v>128</v>
      </c>
      <c r="C698" s="23">
        <v>17069</v>
      </c>
    </row>
    <row r="699" spans="1:3" ht="15.6" x14ac:dyDescent="0.3">
      <c r="A699" s="23" t="s">
        <v>93</v>
      </c>
      <c r="B699" s="23" t="s">
        <v>152</v>
      </c>
      <c r="C699" s="23">
        <v>19080</v>
      </c>
    </row>
    <row r="700" spans="1:3" ht="15.6" x14ac:dyDescent="0.3">
      <c r="A700" s="23" t="s">
        <v>151</v>
      </c>
      <c r="B700" s="23" t="s">
        <v>152</v>
      </c>
      <c r="C700" s="23">
        <v>21079</v>
      </c>
    </row>
    <row r="701" spans="1:3" ht="15.6" x14ac:dyDescent="0.3">
      <c r="A701" s="23" t="s">
        <v>151</v>
      </c>
      <c r="B701" s="23" t="s">
        <v>128</v>
      </c>
      <c r="C701" s="23">
        <v>25050</v>
      </c>
    </row>
    <row r="702" spans="1:3" ht="15.6" x14ac:dyDescent="0.3">
      <c r="A702" s="23" t="s">
        <v>113</v>
      </c>
      <c r="B702" s="23" t="s">
        <v>152</v>
      </c>
      <c r="C702" s="23">
        <v>25088</v>
      </c>
    </row>
    <row r="703" spans="1:3" ht="15.6" x14ac:dyDescent="0.3">
      <c r="A703" s="23" t="s">
        <v>113</v>
      </c>
      <c r="B703" s="23" t="s">
        <v>152</v>
      </c>
      <c r="C703" s="23">
        <v>30020</v>
      </c>
    </row>
    <row r="704" spans="1:3" ht="15.6" x14ac:dyDescent="0.3">
      <c r="A704" s="23" t="s">
        <v>113</v>
      </c>
      <c r="B704" s="23" t="s">
        <v>152</v>
      </c>
      <c r="C704" s="23">
        <v>32043</v>
      </c>
    </row>
    <row r="705" spans="1:3" ht="15.6" x14ac:dyDescent="0.3">
      <c r="A705" s="23" t="s">
        <v>157</v>
      </c>
      <c r="B705" s="23" t="s">
        <v>128</v>
      </c>
      <c r="C705" s="23">
        <v>35010</v>
      </c>
    </row>
    <row r="706" spans="1:3" ht="15.6" x14ac:dyDescent="0.3">
      <c r="A706" s="23" t="s">
        <v>92</v>
      </c>
      <c r="B706" s="23" t="s">
        <v>128</v>
      </c>
      <c r="C706" s="23">
        <v>35063</v>
      </c>
    </row>
    <row r="707" spans="1:3" ht="15.6" x14ac:dyDescent="0.3">
      <c r="A707" s="23" t="s">
        <v>157</v>
      </c>
      <c r="B707" s="23" t="s">
        <v>150</v>
      </c>
      <c r="C707" s="23">
        <v>35774</v>
      </c>
    </row>
    <row r="708" spans="1:3" ht="15.6" x14ac:dyDescent="0.3">
      <c r="A708" s="23" t="s">
        <v>95</v>
      </c>
      <c r="B708" s="23" t="s">
        <v>152</v>
      </c>
      <c r="C708" s="23">
        <v>40692</v>
      </c>
    </row>
    <row r="709" spans="1:3" ht="15.6" x14ac:dyDescent="0.3">
      <c r="A709" s="23" t="s">
        <v>151</v>
      </c>
      <c r="B709" s="23" t="s">
        <v>128</v>
      </c>
      <c r="C709" s="23">
        <v>45006</v>
      </c>
    </row>
    <row r="710" spans="1:3" ht="15.6" x14ac:dyDescent="0.3">
      <c r="A710" s="23" t="s">
        <v>151</v>
      </c>
      <c r="B710" s="23" t="s">
        <v>128</v>
      </c>
      <c r="C710" s="23">
        <v>45029</v>
      </c>
    </row>
    <row r="711" spans="1:3" ht="15.6" x14ac:dyDescent="0.3">
      <c r="A711" s="23" t="s">
        <v>113</v>
      </c>
      <c r="B711" s="23" t="s">
        <v>128</v>
      </c>
      <c r="C711" s="23">
        <v>50011</v>
      </c>
    </row>
    <row r="712" spans="1:3" ht="15.6" x14ac:dyDescent="0.3">
      <c r="A712" s="23" t="s">
        <v>157</v>
      </c>
      <c r="B712" s="23" t="s">
        <v>152</v>
      </c>
      <c r="C712" s="23">
        <v>50038</v>
      </c>
    </row>
    <row r="713" spans="1:3" ht="15.6" x14ac:dyDescent="0.3">
      <c r="A713" s="23" t="s">
        <v>93</v>
      </c>
      <c r="B713" s="23" t="s">
        <v>128</v>
      </c>
      <c r="C713" s="23">
        <v>50046</v>
      </c>
    </row>
    <row r="714" spans="1:3" ht="15.6" x14ac:dyDescent="0.3">
      <c r="A714" s="23" t="s">
        <v>113</v>
      </c>
      <c r="B714" s="23" t="s">
        <v>128</v>
      </c>
      <c r="C714" s="23">
        <v>50052</v>
      </c>
    </row>
    <row r="715" spans="1:3" ht="15.6" x14ac:dyDescent="0.3">
      <c r="A715" s="23" t="s">
        <v>93</v>
      </c>
      <c r="B715" s="23" t="s">
        <v>128</v>
      </c>
      <c r="C715" s="23">
        <v>50090</v>
      </c>
    </row>
    <row r="716" spans="1:3" ht="15.6" x14ac:dyDescent="0.3">
      <c r="A716" s="23" t="s">
        <v>95</v>
      </c>
      <c r="B716" s="23" t="s">
        <v>152</v>
      </c>
      <c r="C716" s="23">
        <v>65001</v>
      </c>
    </row>
    <row r="717" spans="1:3" ht="15.6" x14ac:dyDescent="0.3">
      <c r="A717" s="23" t="s">
        <v>157</v>
      </c>
      <c r="B717" s="23" t="s">
        <v>152</v>
      </c>
      <c r="C717" s="23">
        <v>65014</v>
      </c>
    </row>
    <row r="718" spans="1:3" ht="15.6" x14ac:dyDescent="0.3">
      <c r="A718" s="23" t="s">
        <v>151</v>
      </c>
      <c r="B718" s="23" t="s">
        <v>128</v>
      </c>
      <c r="C718" s="23">
        <v>75013</v>
      </c>
    </row>
    <row r="719" spans="1:3" ht="15.6" x14ac:dyDescent="0.3">
      <c r="A719" s="23" t="s">
        <v>93</v>
      </c>
      <c r="B719" s="23" t="s">
        <v>128</v>
      </c>
      <c r="C719" s="23">
        <v>75020</v>
      </c>
    </row>
    <row r="720" spans="1:3" ht="15.6" x14ac:dyDescent="0.3">
      <c r="A720" s="23" t="s">
        <v>95</v>
      </c>
      <c r="B720" s="23" t="s">
        <v>128</v>
      </c>
      <c r="C720" s="23">
        <v>75032</v>
      </c>
    </row>
    <row r="721" spans="1:3" ht="15.6" x14ac:dyDescent="0.3">
      <c r="A721" s="23" t="s">
        <v>157</v>
      </c>
      <c r="B721" s="23" t="s">
        <v>128</v>
      </c>
      <c r="C721" s="23">
        <v>75039</v>
      </c>
    </row>
    <row r="722" spans="1:3" ht="15.6" x14ac:dyDescent="0.3">
      <c r="A722" s="23" t="s">
        <v>93</v>
      </c>
      <c r="B722" s="23" t="s">
        <v>128</v>
      </c>
      <c r="C722" s="23">
        <v>75046</v>
      </c>
    </row>
    <row r="723" spans="1:3" ht="15.6" x14ac:dyDescent="0.3">
      <c r="A723" s="23" t="s">
        <v>93</v>
      </c>
      <c r="B723" s="23" t="s">
        <v>128</v>
      </c>
      <c r="C723" s="23">
        <v>90007</v>
      </c>
    </row>
    <row r="724" spans="1:3" ht="15.6" x14ac:dyDescent="0.3">
      <c r="A724" s="23" t="s">
        <v>93</v>
      </c>
      <c r="B724" s="23" t="s">
        <v>128</v>
      </c>
      <c r="C724" s="23">
        <v>90025</v>
      </c>
    </row>
    <row r="725" spans="1:3" ht="15.6" x14ac:dyDescent="0.3">
      <c r="A725" s="23" t="s">
        <v>113</v>
      </c>
      <c r="B725" s="23" t="s">
        <v>128</v>
      </c>
      <c r="C725" s="23">
        <v>90075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2A3D4-11C0-48DB-95ED-F5501ECC6C49}">
  <sheetPr codeName="Sheet9"/>
  <dimension ref="A2:G3"/>
  <sheetViews>
    <sheetView zoomScale="126" zoomScaleNormal="126" workbookViewId="0">
      <selection activeCell="E4" sqref="E4"/>
    </sheetView>
  </sheetViews>
  <sheetFormatPr defaultRowHeight="14.4" x14ac:dyDescent="0.3"/>
  <cols>
    <col min="1" max="1" width="32.77734375" customWidth="1"/>
    <col min="2" max="2" width="21.88671875" customWidth="1"/>
    <col min="3" max="3" width="21.5546875" customWidth="1"/>
    <col min="4" max="4" width="20.33203125" customWidth="1"/>
    <col min="5" max="5" width="25.6640625" customWidth="1"/>
    <col min="6" max="6" width="19.5546875" customWidth="1"/>
    <col min="7" max="7" width="14.5546875" customWidth="1"/>
  </cols>
  <sheetData>
    <row r="2" spans="1:7" x14ac:dyDescent="0.3">
      <c r="B2" t="s">
        <v>159</v>
      </c>
      <c r="C2" t="s">
        <v>164</v>
      </c>
      <c r="D2" t="s">
        <v>160</v>
      </c>
      <c r="E2" t="s">
        <v>161</v>
      </c>
      <c r="F2" t="s">
        <v>162</v>
      </c>
      <c r="G2" t="s">
        <v>163</v>
      </c>
    </row>
    <row r="3" spans="1:7" x14ac:dyDescent="0.3">
      <c r="A3" t="s">
        <v>158</v>
      </c>
      <c r="B3" t="str" cm="1">
        <f t="array" ref="B3">_xldudf_AI_TRANSLATE($A3,B$2)</f>
        <v>यह प्रशिक्षण सत्र है</v>
      </c>
      <c r="C3" t="str" cm="1">
        <f t="array" ref="C3">_xldudf_AI_TRANSLATE($A3,C$2)</f>
        <v>हा प्रशिक्षण सत्र आहे</v>
      </c>
      <c r="D3" t="str" cm="1">
        <f t="array" ref="D3">_xldudf_AI_TRANSLATE($A3,D$2)</f>
        <v>ਇਹ ਟ੍ਰੇਨਿੰਗ ਸੈਸ਼ਨ ਹੈ</v>
      </c>
      <c r="E3" t="str" cm="1">
        <f t="array" ref="E3">_xldudf_AI_TRANSLATE($A3,E$2)</f>
        <v>یہ تربیت کا اجلاس ہے</v>
      </c>
      <c r="F3" t="str" cm="1">
        <f t="array" ref="F3">_xldudf_AI_TRANSLATE($A3,F$2)</f>
        <v>এটা প্রশিক্ষণ অধিবেশন</v>
      </c>
      <c r="G3" t="str" cm="1">
        <f t="array" ref="G3">_xldudf_AI_TRANSLATE($A3,G$2)</f>
        <v>एषः प्रशिक्षण सत्रम्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3BA6-8298-4326-956A-AA66601CE243}">
  <sheetPr codeName="Sheet10"/>
  <dimension ref="A1:B12"/>
  <sheetViews>
    <sheetView workbookViewId="0">
      <selection activeCell="F9" sqref="F9"/>
    </sheetView>
  </sheetViews>
  <sheetFormatPr defaultRowHeight="14.4" x14ac:dyDescent="0.3"/>
  <cols>
    <col min="1" max="1" width="25.5546875" customWidth="1"/>
    <col min="2" max="2" width="45.21875" customWidth="1"/>
  </cols>
  <sheetData>
    <row r="1" spans="1:2" x14ac:dyDescent="0.3">
      <c r="A1" t="s">
        <v>138</v>
      </c>
      <c r="B1" t="s">
        <v>176</v>
      </c>
    </row>
    <row r="2" spans="1:2" ht="45" customHeight="1" x14ac:dyDescent="0.3">
      <c r="A2" t="s">
        <v>165</v>
      </c>
      <c r="B2" t="e" vm="1">
        <f>_xlfn.IMAGE(_xlfn.CONCAT("https://logo.clearbit.com/",A2,".com"))</f>
        <v>#VALUE!</v>
      </c>
    </row>
    <row r="3" spans="1:2" ht="45" customHeight="1" x14ac:dyDescent="0.3">
      <c r="A3" t="s">
        <v>166</v>
      </c>
      <c r="B3" t="e" vm="2">
        <f t="shared" ref="B3:B12" si="0">_xlfn.IMAGE(_xlfn.CONCAT("https://logo.clearbit.com/",A3,".com"))</f>
        <v>#VALUE!</v>
      </c>
    </row>
    <row r="4" spans="1:2" ht="45" customHeight="1" x14ac:dyDescent="0.3">
      <c r="A4" t="s">
        <v>167</v>
      </c>
      <c r="B4" t="e" vm="3">
        <f t="shared" si="0"/>
        <v>#VALUE!</v>
      </c>
    </row>
    <row r="5" spans="1:2" ht="45" customHeight="1" x14ac:dyDescent="0.3">
      <c r="A5" t="s">
        <v>168</v>
      </c>
      <c r="B5" t="e" vm="4">
        <f t="shared" si="0"/>
        <v>#VALUE!</v>
      </c>
    </row>
    <row r="6" spans="1:2" ht="45" customHeight="1" x14ac:dyDescent="0.3">
      <c r="A6" t="s">
        <v>169</v>
      </c>
      <c r="B6" t="e" vm="5">
        <f t="shared" si="0"/>
        <v>#VALUE!</v>
      </c>
    </row>
    <row r="7" spans="1:2" ht="45" customHeight="1" x14ac:dyDescent="0.3">
      <c r="A7" t="s">
        <v>170</v>
      </c>
      <c r="B7" t="e" vm="6">
        <f t="shared" si="0"/>
        <v>#VALUE!</v>
      </c>
    </row>
    <row r="8" spans="1:2" ht="45" customHeight="1" x14ac:dyDescent="0.3">
      <c r="A8" t="s">
        <v>171</v>
      </c>
      <c r="B8" t="e" vm="7">
        <f t="shared" si="0"/>
        <v>#VALUE!</v>
      </c>
    </row>
    <row r="9" spans="1:2" ht="45" customHeight="1" x14ac:dyDescent="0.3">
      <c r="A9" t="s">
        <v>172</v>
      </c>
      <c r="B9" t="e" vm="8">
        <f t="shared" si="0"/>
        <v>#VALUE!</v>
      </c>
    </row>
    <row r="10" spans="1:2" ht="45" customHeight="1" x14ac:dyDescent="0.3">
      <c r="A10" t="s">
        <v>173</v>
      </c>
      <c r="B10" t="e" vm="9">
        <f t="shared" si="0"/>
        <v>#VALUE!</v>
      </c>
    </row>
    <row r="11" spans="1:2" ht="45" customHeight="1" x14ac:dyDescent="0.3">
      <c r="A11" t="s">
        <v>174</v>
      </c>
      <c r="B11" t="e" vm="10">
        <f t="shared" si="0"/>
        <v>#VALUE!</v>
      </c>
    </row>
    <row r="12" spans="1:2" ht="45" customHeight="1" x14ac:dyDescent="0.3">
      <c r="A12" t="s">
        <v>175</v>
      </c>
      <c r="B12" t="e" vm="11">
        <f t="shared" si="0"/>
        <v>#VALUE!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AFE3C-24BF-4785-AAE1-DD8AF6485DA4}">
  <sheetPr codeName="Sheet11"/>
  <dimension ref="A1:I13"/>
  <sheetViews>
    <sheetView zoomScale="165" zoomScaleNormal="165" workbookViewId="0">
      <selection sqref="A1:A13"/>
    </sheetView>
  </sheetViews>
  <sheetFormatPr defaultRowHeight="14.4" x14ac:dyDescent="0.3"/>
  <cols>
    <col min="1" max="1" width="12.44140625" customWidth="1"/>
    <col min="9" max="9" width="19" customWidth="1"/>
    <col min="10" max="10" width="14.77734375" customWidth="1"/>
  </cols>
  <sheetData>
    <row r="1" spans="1:9" x14ac:dyDescent="0.3">
      <c r="A1" t="s">
        <v>177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</row>
    <row r="2" spans="1:9" x14ac:dyDescent="0.3">
      <c r="A2" t="s">
        <v>140</v>
      </c>
      <c r="B2" s="25" t="b">
        <v>1</v>
      </c>
      <c r="C2" s="25" t="b">
        <v>1</v>
      </c>
      <c r="D2" s="25" t="b">
        <v>0</v>
      </c>
      <c r="E2" s="25" t="b">
        <v>1</v>
      </c>
      <c r="F2" s="25" t="b">
        <v>0</v>
      </c>
      <c r="G2" s="25" t="b">
        <v>0</v>
      </c>
      <c r="H2" s="25" t="b">
        <v>0</v>
      </c>
      <c r="I2" s="26" t="str">
        <f>REPT("|",COUNTIF(B2:H2,TRUE)*7)</f>
        <v>|||||||||||||||||||||</v>
      </c>
    </row>
    <row r="3" spans="1:9" x14ac:dyDescent="0.3">
      <c r="A3" t="s">
        <v>141</v>
      </c>
      <c r="B3" s="25" t="b">
        <v>0</v>
      </c>
      <c r="C3" s="25" t="b">
        <v>0</v>
      </c>
      <c r="D3" s="25" t="b">
        <v>1</v>
      </c>
      <c r="E3" s="25" t="b">
        <v>0</v>
      </c>
      <c r="F3" s="25" t="b">
        <v>1</v>
      </c>
      <c r="G3" s="25" t="b">
        <v>1</v>
      </c>
      <c r="H3" s="25" t="b">
        <v>0</v>
      </c>
      <c r="I3" s="26" t="str">
        <f t="shared" ref="I3:I13" si="0">REPT("|",COUNTIF(B3:H3,TRUE)*7)</f>
        <v>|||||||||||||||||||||</v>
      </c>
    </row>
    <row r="4" spans="1:9" x14ac:dyDescent="0.3">
      <c r="A4" t="s">
        <v>142</v>
      </c>
      <c r="B4" s="25" t="b">
        <v>1</v>
      </c>
      <c r="C4" s="25" t="b">
        <v>1</v>
      </c>
      <c r="D4" s="25" t="b">
        <v>1</v>
      </c>
      <c r="E4" s="25" t="b">
        <v>1</v>
      </c>
      <c r="F4" s="25" t="b">
        <v>1</v>
      </c>
      <c r="G4" s="25" t="b">
        <v>1</v>
      </c>
      <c r="H4" s="25" t="b">
        <v>0</v>
      </c>
      <c r="I4" s="26" t="str">
        <f t="shared" si="0"/>
        <v>||||||||||||||||||||||||||||||||||||||||||</v>
      </c>
    </row>
    <row r="5" spans="1:9" x14ac:dyDescent="0.3">
      <c r="A5" t="s">
        <v>143</v>
      </c>
      <c r="B5" s="25" t="b">
        <v>0</v>
      </c>
      <c r="C5" s="25" t="b">
        <v>0</v>
      </c>
      <c r="D5" s="25" t="b">
        <v>0</v>
      </c>
      <c r="E5" s="25" t="b">
        <v>0</v>
      </c>
      <c r="F5" s="25" t="b">
        <v>1</v>
      </c>
      <c r="G5" s="25" t="b">
        <v>0</v>
      </c>
      <c r="H5" s="25" t="b">
        <v>1</v>
      </c>
      <c r="I5" s="26" t="str">
        <f t="shared" si="0"/>
        <v>||||||||||||||</v>
      </c>
    </row>
    <row r="6" spans="1:9" x14ac:dyDescent="0.3">
      <c r="A6" t="s">
        <v>178</v>
      </c>
      <c r="B6" s="25" t="b">
        <v>0</v>
      </c>
      <c r="C6" s="25" t="b">
        <v>0</v>
      </c>
      <c r="D6" s="25" t="b">
        <v>1</v>
      </c>
      <c r="E6" s="25" t="b">
        <v>1</v>
      </c>
      <c r="F6" s="25" t="b">
        <v>1</v>
      </c>
      <c r="G6" s="25" t="b">
        <v>0</v>
      </c>
      <c r="H6" s="25" t="b">
        <v>0</v>
      </c>
      <c r="I6" s="26" t="str">
        <f t="shared" si="0"/>
        <v>|||||||||||||||||||||</v>
      </c>
    </row>
    <row r="7" spans="1:9" x14ac:dyDescent="0.3">
      <c r="A7" t="s">
        <v>179</v>
      </c>
      <c r="B7" s="25" t="b">
        <v>1</v>
      </c>
      <c r="C7" s="25" t="b">
        <v>0</v>
      </c>
      <c r="D7" s="25" t="b">
        <v>0</v>
      </c>
      <c r="E7" s="25" t="b">
        <v>0</v>
      </c>
      <c r="F7" s="25" t="b">
        <v>1</v>
      </c>
      <c r="G7" s="25" t="b">
        <v>0</v>
      </c>
      <c r="H7" s="25" t="b">
        <v>1</v>
      </c>
      <c r="I7" s="26" t="str">
        <f t="shared" si="0"/>
        <v>|||||||||||||||||||||</v>
      </c>
    </row>
    <row r="8" spans="1:9" x14ac:dyDescent="0.3">
      <c r="A8" t="s">
        <v>180</v>
      </c>
      <c r="B8" s="25" t="b">
        <v>0</v>
      </c>
      <c r="C8" s="25" t="b">
        <v>0</v>
      </c>
      <c r="D8" s="25" t="b">
        <v>1</v>
      </c>
      <c r="E8" s="25" t="b">
        <v>0</v>
      </c>
      <c r="F8" s="25" t="b">
        <v>0</v>
      </c>
      <c r="G8" s="25" t="b">
        <v>1</v>
      </c>
      <c r="H8" s="25" t="b">
        <v>0</v>
      </c>
      <c r="I8" s="26" t="str">
        <f t="shared" si="0"/>
        <v>||||||||||||||</v>
      </c>
    </row>
    <row r="9" spans="1:9" x14ac:dyDescent="0.3">
      <c r="A9" t="s">
        <v>181</v>
      </c>
      <c r="B9" s="25" t="b">
        <v>1</v>
      </c>
      <c r="C9" s="25" t="b">
        <v>1</v>
      </c>
      <c r="D9" s="25" t="b">
        <v>1</v>
      </c>
      <c r="E9" s="25" t="b">
        <v>1</v>
      </c>
      <c r="F9" s="25" t="b">
        <v>1</v>
      </c>
      <c r="G9" s="25" t="b">
        <v>0</v>
      </c>
      <c r="H9" s="25" t="b">
        <v>1</v>
      </c>
      <c r="I9" s="26" t="str">
        <f t="shared" si="0"/>
        <v>||||||||||||||||||||||||||||||||||||||||||</v>
      </c>
    </row>
    <row r="10" spans="1:9" x14ac:dyDescent="0.3">
      <c r="A10" t="s">
        <v>182</v>
      </c>
      <c r="B10" s="25" t="b">
        <v>0</v>
      </c>
      <c r="C10" s="25" t="b">
        <v>1</v>
      </c>
      <c r="D10" s="25" t="b">
        <v>0</v>
      </c>
      <c r="E10" s="25" t="b">
        <v>0</v>
      </c>
      <c r="F10" s="25" t="b">
        <v>0</v>
      </c>
      <c r="G10" s="25" t="b">
        <v>0</v>
      </c>
      <c r="H10" s="25" t="b">
        <v>1</v>
      </c>
      <c r="I10" s="26" t="str">
        <f t="shared" si="0"/>
        <v>||||||||||||||</v>
      </c>
    </row>
    <row r="11" spans="1:9" x14ac:dyDescent="0.3">
      <c r="A11" t="s">
        <v>183</v>
      </c>
      <c r="B11" s="25" t="b">
        <v>1</v>
      </c>
      <c r="C11" s="25" t="b">
        <v>0</v>
      </c>
      <c r="D11" s="25" t="b">
        <v>1</v>
      </c>
      <c r="E11" s="25" t="b">
        <v>1</v>
      </c>
      <c r="F11" s="25" t="b">
        <v>1</v>
      </c>
      <c r="G11" s="25" t="b">
        <v>1</v>
      </c>
      <c r="H11" s="25" t="b">
        <v>0</v>
      </c>
      <c r="I11" s="26" t="str">
        <f t="shared" si="0"/>
        <v>|||||||||||||||||||||||||||||||||||</v>
      </c>
    </row>
    <row r="12" spans="1:9" x14ac:dyDescent="0.3">
      <c r="A12" t="s">
        <v>184</v>
      </c>
      <c r="B12" s="25" t="b">
        <v>0</v>
      </c>
      <c r="C12" s="25" t="b">
        <v>0</v>
      </c>
      <c r="D12" s="25" t="b">
        <v>0</v>
      </c>
      <c r="E12" s="25" t="b">
        <v>1</v>
      </c>
      <c r="F12" s="25" t="b">
        <v>0</v>
      </c>
      <c r="G12" s="25" t="b">
        <v>1</v>
      </c>
      <c r="H12" s="25" t="b">
        <v>0</v>
      </c>
      <c r="I12" s="26" t="str">
        <f t="shared" si="0"/>
        <v>||||||||||||||</v>
      </c>
    </row>
    <row r="13" spans="1:9" x14ac:dyDescent="0.3">
      <c r="A13" t="s">
        <v>185</v>
      </c>
      <c r="B13" s="25" t="b">
        <v>0</v>
      </c>
      <c r="C13" s="25" t="b">
        <v>1</v>
      </c>
      <c r="D13" s="25" t="b">
        <v>0</v>
      </c>
      <c r="E13" s="25" t="b">
        <v>1</v>
      </c>
      <c r="F13" s="25" t="b">
        <v>1</v>
      </c>
      <c r="G13" s="25" t="b">
        <v>1</v>
      </c>
      <c r="H13" s="25" t="b">
        <v>1</v>
      </c>
      <c r="I13" s="26" t="str">
        <f t="shared" si="0"/>
        <v>|||||||||||||||||||||||||||||||||||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E80C-93A0-48C1-86F9-17D969A6FD37}">
  <sheetPr codeName="Sheet12"/>
  <dimension ref="A1:C13"/>
  <sheetViews>
    <sheetView zoomScale="170" zoomScaleNormal="170" workbookViewId="0">
      <selection activeCell="A2" sqref="A2:C13"/>
    </sheetView>
  </sheetViews>
  <sheetFormatPr defaultRowHeight="14.4" x14ac:dyDescent="0.3"/>
  <cols>
    <col min="1" max="1" width="8.109375" bestFit="1" customWidth="1"/>
    <col min="3" max="3" width="11.21875" customWidth="1"/>
  </cols>
  <sheetData>
    <row r="1" spans="1:3" x14ac:dyDescent="0.3">
      <c r="A1" s="27" t="s">
        <v>177</v>
      </c>
      <c r="B1" s="27" t="s">
        <v>194</v>
      </c>
      <c r="C1" s="27" t="s">
        <v>195</v>
      </c>
    </row>
    <row r="2" spans="1:3" x14ac:dyDescent="0.3">
      <c r="A2" s="6" t="s">
        <v>140</v>
      </c>
      <c r="B2" s="25" t="b">
        <v>0</v>
      </c>
      <c r="C2" s="6" t="str">
        <f>IF(B2,"Done","Pending")</f>
        <v>Pending</v>
      </c>
    </row>
    <row r="3" spans="1:3" x14ac:dyDescent="0.3">
      <c r="A3" s="6" t="s">
        <v>141</v>
      </c>
      <c r="B3" s="25" t="b">
        <v>1</v>
      </c>
      <c r="C3" s="6" t="str">
        <f t="shared" ref="C3:C13" si="0">IF(B3,"Done","Pending")</f>
        <v>Done</v>
      </c>
    </row>
    <row r="4" spans="1:3" x14ac:dyDescent="0.3">
      <c r="A4" s="6" t="s">
        <v>142</v>
      </c>
      <c r="B4" s="25" t="b">
        <v>1</v>
      </c>
      <c r="C4" s="6" t="str">
        <f t="shared" si="0"/>
        <v>Done</v>
      </c>
    </row>
    <row r="5" spans="1:3" x14ac:dyDescent="0.3">
      <c r="A5" s="6" t="s">
        <v>143</v>
      </c>
      <c r="B5" s="25" t="b">
        <v>0</v>
      </c>
      <c r="C5" s="6" t="str">
        <f t="shared" si="0"/>
        <v>Pending</v>
      </c>
    </row>
    <row r="6" spans="1:3" x14ac:dyDescent="0.3">
      <c r="A6" s="6" t="s">
        <v>178</v>
      </c>
      <c r="B6" s="25" t="b">
        <v>0</v>
      </c>
      <c r="C6" s="6" t="str">
        <f t="shared" si="0"/>
        <v>Pending</v>
      </c>
    </row>
    <row r="7" spans="1:3" x14ac:dyDescent="0.3">
      <c r="A7" s="6" t="s">
        <v>179</v>
      </c>
      <c r="B7" s="25" t="b">
        <v>1</v>
      </c>
      <c r="C7" s="6" t="str">
        <f t="shared" si="0"/>
        <v>Done</v>
      </c>
    </row>
    <row r="8" spans="1:3" x14ac:dyDescent="0.3">
      <c r="A8" s="6" t="s">
        <v>180</v>
      </c>
      <c r="B8" s="25" t="b">
        <v>0</v>
      </c>
      <c r="C8" s="6" t="str">
        <f t="shared" si="0"/>
        <v>Pending</v>
      </c>
    </row>
    <row r="9" spans="1:3" x14ac:dyDescent="0.3">
      <c r="A9" s="6" t="s">
        <v>181</v>
      </c>
      <c r="B9" s="25" t="b">
        <v>1</v>
      </c>
      <c r="C9" s="6" t="str">
        <f t="shared" si="0"/>
        <v>Done</v>
      </c>
    </row>
    <row r="10" spans="1:3" x14ac:dyDescent="0.3">
      <c r="A10" s="6" t="s">
        <v>182</v>
      </c>
      <c r="B10" s="25" t="b">
        <v>0</v>
      </c>
      <c r="C10" s="6" t="str">
        <f t="shared" si="0"/>
        <v>Pending</v>
      </c>
    </row>
    <row r="11" spans="1:3" x14ac:dyDescent="0.3">
      <c r="A11" s="6" t="s">
        <v>183</v>
      </c>
      <c r="B11" s="25" t="b">
        <v>1</v>
      </c>
      <c r="C11" s="6" t="str">
        <f t="shared" si="0"/>
        <v>Done</v>
      </c>
    </row>
    <row r="12" spans="1:3" x14ac:dyDescent="0.3">
      <c r="A12" s="6" t="s">
        <v>184</v>
      </c>
      <c r="B12" s="25" t="b">
        <v>0</v>
      </c>
      <c r="C12" s="6" t="str">
        <f t="shared" si="0"/>
        <v>Pending</v>
      </c>
    </row>
    <row r="13" spans="1:3" x14ac:dyDescent="0.3">
      <c r="A13" s="6" t="s">
        <v>185</v>
      </c>
      <c r="B13" s="25" t="b">
        <v>1</v>
      </c>
      <c r="C13" s="6" t="str">
        <f t="shared" si="0"/>
        <v>Done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B459-9E9B-4BBF-B08C-F5EBAA55AD24}">
  <sheetPr codeName="Sheet13"/>
  <dimension ref="A1:E8"/>
  <sheetViews>
    <sheetView zoomScale="136" zoomScaleNormal="136" workbookViewId="0">
      <selection sqref="A1:E1"/>
    </sheetView>
  </sheetViews>
  <sheetFormatPr defaultRowHeight="14.4" x14ac:dyDescent="0.3"/>
  <cols>
    <col min="2" max="2" width="13.21875" customWidth="1"/>
    <col min="3" max="3" width="12.5546875" customWidth="1"/>
  </cols>
  <sheetData>
    <row r="1" spans="1:5" x14ac:dyDescent="0.3">
      <c r="A1" s="28" t="s">
        <v>136</v>
      </c>
      <c r="B1" s="28" t="s">
        <v>137</v>
      </c>
      <c r="C1" s="28" t="s">
        <v>138</v>
      </c>
      <c r="D1" s="28" t="s">
        <v>139</v>
      </c>
      <c r="E1" s="28" t="s">
        <v>144</v>
      </c>
    </row>
    <row r="2" spans="1:5" x14ac:dyDescent="0.3">
      <c r="A2">
        <v>111</v>
      </c>
      <c r="B2" t="s">
        <v>197</v>
      </c>
      <c r="C2" t="s">
        <v>171</v>
      </c>
      <c r="D2" t="s">
        <v>198</v>
      </c>
      <c r="E2">
        <v>43434</v>
      </c>
    </row>
    <row r="3" spans="1:5" x14ac:dyDescent="0.3">
      <c r="A3">
        <v>222</v>
      </c>
      <c r="B3" t="s">
        <v>199</v>
      </c>
      <c r="C3" t="s">
        <v>173</v>
      </c>
      <c r="D3" t="s">
        <v>196</v>
      </c>
      <c r="E3">
        <v>35353</v>
      </c>
    </row>
    <row r="8" spans="1:5" x14ac:dyDescent="0.3">
      <c r="C8" t="s">
        <v>200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2825-AF41-466D-88D5-3B8C48EFDD9F}">
  <dimension ref="A1:D59"/>
  <sheetViews>
    <sheetView workbookViewId="0">
      <selection activeCell="E17" sqref="E17"/>
    </sheetView>
  </sheetViews>
  <sheetFormatPr defaultRowHeight="14.4" x14ac:dyDescent="0.3"/>
  <cols>
    <col min="1" max="1" width="11.5546875" bestFit="1" customWidth="1"/>
    <col min="2" max="2" width="10.6640625" bestFit="1" customWidth="1"/>
    <col min="3" max="4" width="8.5546875" bestFit="1" customWidth="1"/>
  </cols>
  <sheetData>
    <row r="1" spans="1:4" x14ac:dyDescent="0.3">
      <c r="A1" t="s">
        <v>91</v>
      </c>
      <c r="B1" t="s">
        <v>208</v>
      </c>
      <c r="C1" t="s">
        <v>209</v>
      </c>
      <c r="D1" t="s">
        <v>210</v>
      </c>
    </row>
    <row r="2" spans="1:4" x14ac:dyDescent="0.3">
      <c r="A2" t="s">
        <v>93</v>
      </c>
      <c r="B2" t="s">
        <v>152</v>
      </c>
      <c r="C2">
        <v>10135</v>
      </c>
      <c r="D2">
        <v>10202</v>
      </c>
    </row>
    <row r="3" spans="1:4" x14ac:dyDescent="0.3">
      <c r="A3" t="s">
        <v>93</v>
      </c>
      <c r="B3" t="s">
        <v>152</v>
      </c>
      <c r="C3">
        <v>12953</v>
      </c>
      <c r="D3">
        <v>13044</v>
      </c>
    </row>
    <row r="4" spans="1:4" x14ac:dyDescent="0.3">
      <c r="A4" t="s">
        <v>93</v>
      </c>
      <c r="B4" t="s">
        <v>152</v>
      </c>
      <c r="C4">
        <v>13637</v>
      </c>
      <c r="D4">
        <v>13685</v>
      </c>
    </row>
    <row r="5" spans="1:4" x14ac:dyDescent="0.3">
      <c r="A5" t="s">
        <v>93</v>
      </c>
      <c r="B5" t="s">
        <v>152</v>
      </c>
      <c r="C5">
        <v>8000</v>
      </c>
      <c r="D5">
        <v>8010</v>
      </c>
    </row>
    <row r="6" spans="1:4" x14ac:dyDescent="0.3">
      <c r="A6" t="s">
        <v>93</v>
      </c>
      <c r="B6" t="s">
        <v>152</v>
      </c>
      <c r="C6">
        <v>14750</v>
      </c>
      <c r="D6">
        <v>14817</v>
      </c>
    </row>
    <row r="7" spans="1:4" x14ac:dyDescent="0.3">
      <c r="A7" t="s">
        <v>93</v>
      </c>
      <c r="B7" t="s">
        <v>152</v>
      </c>
      <c r="C7">
        <v>10862</v>
      </c>
      <c r="D7">
        <v>10904</v>
      </c>
    </row>
    <row r="8" spans="1:4" x14ac:dyDescent="0.3">
      <c r="A8" t="s">
        <v>93</v>
      </c>
      <c r="B8" t="s">
        <v>152</v>
      </c>
      <c r="C8">
        <v>1000</v>
      </c>
      <c r="D8">
        <v>1081</v>
      </c>
    </row>
    <row r="9" spans="1:4" x14ac:dyDescent="0.3">
      <c r="A9" t="s">
        <v>93</v>
      </c>
      <c r="B9" t="s">
        <v>152</v>
      </c>
      <c r="C9">
        <v>6000</v>
      </c>
      <c r="D9">
        <v>6027</v>
      </c>
    </row>
    <row r="10" spans="1:4" x14ac:dyDescent="0.3">
      <c r="A10" t="s">
        <v>93</v>
      </c>
      <c r="B10" t="s">
        <v>152</v>
      </c>
      <c r="C10">
        <v>5393</v>
      </c>
      <c r="D10">
        <v>5487</v>
      </c>
    </row>
    <row r="11" spans="1:4" x14ac:dyDescent="0.3">
      <c r="A11" t="s">
        <v>93</v>
      </c>
      <c r="B11" t="s">
        <v>152</v>
      </c>
      <c r="C11">
        <v>4006</v>
      </c>
      <c r="D11">
        <v>4036</v>
      </c>
    </row>
    <row r="12" spans="1:4" x14ac:dyDescent="0.3">
      <c r="A12" t="s">
        <v>93</v>
      </c>
      <c r="B12" t="s">
        <v>152</v>
      </c>
      <c r="C12">
        <v>8436</v>
      </c>
      <c r="D12">
        <v>8502</v>
      </c>
    </row>
    <row r="13" spans="1:4" x14ac:dyDescent="0.3">
      <c r="A13" t="s">
        <v>93</v>
      </c>
      <c r="B13" t="s">
        <v>152</v>
      </c>
      <c r="C13">
        <v>600</v>
      </c>
      <c r="D13">
        <v>619</v>
      </c>
    </row>
    <row r="14" spans="1:4" x14ac:dyDescent="0.3">
      <c r="A14" t="s">
        <v>93</v>
      </c>
      <c r="B14" t="s">
        <v>152</v>
      </c>
      <c r="C14">
        <v>7874</v>
      </c>
      <c r="D14">
        <v>7905</v>
      </c>
    </row>
    <row r="15" spans="1:4" x14ac:dyDescent="0.3">
      <c r="A15" t="s">
        <v>93</v>
      </c>
      <c r="B15" t="s">
        <v>152</v>
      </c>
      <c r="C15">
        <v>2878</v>
      </c>
      <c r="D15">
        <v>2928</v>
      </c>
    </row>
    <row r="16" spans="1:4" x14ac:dyDescent="0.3">
      <c r="A16" t="s">
        <v>93</v>
      </c>
      <c r="B16" t="s">
        <v>152</v>
      </c>
      <c r="C16">
        <v>9247</v>
      </c>
      <c r="D16">
        <v>9293</v>
      </c>
    </row>
    <row r="17" spans="1:4" x14ac:dyDescent="0.3">
      <c r="A17" t="s">
        <v>93</v>
      </c>
      <c r="B17" t="s">
        <v>152</v>
      </c>
      <c r="C17">
        <v>9877</v>
      </c>
      <c r="D17">
        <v>9975</v>
      </c>
    </row>
    <row r="18" spans="1:4" x14ac:dyDescent="0.3">
      <c r="A18" t="s">
        <v>93</v>
      </c>
      <c r="B18" t="s">
        <v>152</v>
      </c>
      <c r="C18">
        <v>5366</v>
      </c>
      <c r="D18">
        <v>5409</v>
      </c>
    </row>
    <row r="19" spans="1:4" x14ac:dyDescent="0.3">
      <c r="A19" t="s">
        <v>93</v>
      </c>
      <c r="B19" t="s">
        <v>152</v>
      </c>
      <c r="C19">
        <v>5589</v>
      </c>
      <c r="D19">
        <v>5667</v>
      </c>
    </row>
    <row r="20" spans="1:4" x14ac:dyDescent="0.3">
      <c r="A20" t="s">
        <v>93</v>
      </c>
      <c r="B20" t="s">
        <v>152</v>
      </c>
      <c r="C20">
        <v>7854</v>
      </c>
      <c r="D20">
        <v>7875</v>
      </c>
    </row>
    <row r="21" spans="1:4" x14ac:dyDescent="0.3">
      <c r="A21" t="s">
        <v>93</v>
      </c>
      <c r="B21" t="s">
        <v>152</v>
      </c>
      <c r="C21">
        <v>8815</v>
      </c>
      <c r="D21">
        <v>8841</v>
      </c>
    </row>
    <row r="22" spans="1:4" x14ac:dyDescent="0.3">
      <c r="A22" t="s">
        <v>93</v>
      </c>
      <c r="B22" t="s">
        <v>152</v>
      </c>
      <c r="C22">
        <v>8721</v>
      </c>
      <c r="D22">
        <v>8809</v>
      </c>
    </row>
    <row r="23" spans="1:4" x14ac:dyDescent="0.3">
      <c r="A23" t="s">
        <v>93</v>
      </c>
      <c r="B23" t="s">
        <v>152</v>
      </c>
      <c r="C23">
        <v>8000</v>
      </c>
      <c r="D23">
        <v>8029</v>
      </c>
    </row>
    <row r="24" spans="1:4" x14ac:dyDescent="0.3">
      <c r="A24" t="s">
        <v>93</v>
      </c>
      <c r="B24" t="s">
        <v>152</v>
      </c>
      <c r="C24">
        <v>10101</v>
      </c>
      <c r="D24">
        <v>10179</v>
      </c>
    </row>
    <row r="25" spans="1:4" x14ac:dyDescent="0.3">
      <c r="A25" t="s">
        <v>93</v>
      </c>
      <c r="B25" t="s">
        <v>152</v>
      </c>
      <c r="C25">
        <v>6762</v>
      </c>
      <c r="D25">
        <v>6766</v>
      </c>
    </row>
    <row r="26" spans="1:4" x14ac:dyDescent="0.3">
      <c r="A26" t="s">
        <v>93</v>
      </c>
      <c r="B26" t="s">
        <v>152</v>
      </c>
      <c r="C26">
        <v>500</v>
      </c>
      <c r="D26">
        <v>597</v>
      </c>
    </row>
    <row r="27" spans="1:4" x14ac:dyDescent="0.3">
      <c r="A27" t="s">
        <v>93</v>
      </c>
      <c r="B27" t="s">
        <v>152</v>
      </c>
      <c r="C27">
        <v>6762</v>
      </c>
      <c r="D27">
        <v>6835</v>
      </c>
    </row>
    <row r="28" spans="1:4" x14ac:dyDescent="0.3">
      <c r="A28" t="s">
        <v>93</v>
      </c>
      <c r="B28" t="s">
        <v>152</v>
      </c>
      <c r="C28">
        <v>5538</v>
      </c>
      <c r="D28">
        <v>5585</v>
      </c>
    </row>
    <row r="29" spans="1:4" x14ac:dyDescent="0.3">
      <c r="A29" t="s">
        <v>93</v>
      </c>
      <c r="B29" t="s">
        <v>152</v>
      </c>
      <c r="C29">
        <v>8190</v>
      </c>
      <c r="D29">
        <v>8265</v>
      </c>
    </row>
    <row r="30" spans="1:4" x14ac:dyDescent="0.3">
      <c r="A30" t="s">
        <v>93</v>
      </c>
      <c r="B30" t="s">
        <v>152</v>
      </c>
      <c r="C30">
        <v>500</v>
      </c>
      <c r="D30">
        <v>545</v>
      </c>
    </row>
    <row r="31" spans="1:4" x14ac:dyDescent="0.3">
      <c r="A31" t="s">
        <v>93</v>
      </c>
      <c r="B31" t="s">
        <v>152</v>
      </c>
      <c r="C31">
        <v>4985</v>
      </c>
      <c r="D31">
        <v>5072</v>
      </c>
    </row>
    <row r="32" spans="1:4" x14ac:dyDescent="0.3">
      <c r="A32" t="s">
        <v>93</v>
      </c>
      <c r="B32" t="s">
        <v>152</v>
      </c>
      <c r="C32">
        <v>4000</v>
      </c>
      <c r="D32">
        <v>4050</v>
      </c>
    </row>
    <row r="33" spans="1:4" x14ac:dyDescent="0.3">
      <c r="A33" t="s">
        <v>93</v>
      </c>
      <c r="B33" t="s">
        <v>152</v>
      </c>
      <c r="C33">
        <v>6000</v>
      </c>
      <c r="D33">
        <v>6022</v>
      </c>
    </row>
    <row r="34" spans="1:4" x14ac:dyDescent="0.3">
      <c r="A34" t="s">
        <v>93</v>
      </c>
      <c r="B34" t="s">
        <v>152</v>
      </c>
      <c r="C34">
        <v>11935</v>
      </c>
      <c r="D34">
        <v>11977</v>
      </c>
    </row>
    <row r="35" spans="1:4" x14ac:dyDescent="0.3">
      <c r="A35" t="s">
        <v>93</v>
      </c>
      <c r="B35" t="s">
        <v>152</v>
      </c>
      <c r="C35">
        <v>8042</v>
      </c>
      <c r="D35">
        <v>8044</v>
      </c>
    </row>
    <row r="36" spans="1:4" x14ac:dyDescent="0.3">
      <c r="A36" t="s">
        <v>93</v>
      </c>
      <c r="B36" t="s">
        <v>152</v>
      </c>
      <c r="C36">
        <v>7000</v>
      </c>
      <c r="D36">
        <v>7056</v>
      </c>
    </row>
    <row r="37" spans="1:4" x14ac:dyDescent="0.3">
      <c r="A37" t="s">
        <v>93</v>
      </c>
      <c r="B37" t="s">
        <v>152</v>
      </c>
      <c r="C37">
        <v>8371</v>
      </c>
      <c r="D37">
        <v>8443</v>
      </c>
    </row>
    <row r="38" spans="1:4" x14ac:dyDescent="0.3">
      <c r="A38" t="s">
        <v>93</v>
      </c>
      <c r="B38" t="s">
        <v>152</v>
      </c>
      <c r="C38">
        <v>3949</v>
      </c>
      <c r="D38">
        <v>4036</v>
      </c>
    </row>
    <row r="39" spans="1:4" x14ac:dyDescent="0.3">
      <c r="A39" t="s">
        <v>93</v>
      </c>
      <c r="B39" t="s">
        <v>152</v>
      </c>
      <c r="C39">
        <v>4623</v>
      </c>
      <c r="D39">
        <v>4696</v>
      </c>
    </row>
    <row r="40" spans="1:4" x14ac:dyDescent="0.3">
      <c r="A40" t="s">
        <v>93</v>
      </c>
      <c r="B40" t="s">
        <v>152</v>
      </c>
      <c r="C40">
        <v>5664</v>
      </c>
      <c r="D40">
        <v>5691</v>
      </c>
    </row>
    <row r="41" spans="1:4" x14ac:dyDescent="0.3">
      <c r="A41" t="s">
        <v>93</v>
      </c>
      <c r="B41" t="s">
        <v>152</v>
      </c>
      <c r="C41">
        <v>7037</v>
      </c>
      <c r="D41">
        <v>7134</v>
      </c>
    </row>
    <row r="42" spans="1:4" x14ac:dyDescent="0.3">
      <c r="A42" t="s">
        <v>93</v>
      </c>
      <c r="B42" t="s">
        <v>152</v>
      </c>
      <c r="C42">
        <v>14861</v>
      </c>
      <c r="D42">
        <v>14890</v>
      </c>
    </row>
    <row r="43" spans="1:4" x14ac:dyDescent="0.3">
      <c r="A43" t="s">
        <v>93</v>
      </c>
      <c r="B43" t="s">
        <v>152</v>
      </c>
      <c r="C43">
        <v>4000</v>
      </c>
      <c r="D43">
        <v>4096</v>
      </c>
    </row>
    <row r="44" spans="1:4" x14ac:dyDescent="0.3">
      <c r="A44" t="s">
        <v>93</v>
      </c>
      <c r="B44" t="s">
        <v>152</v>
      </c>
      <c r="C44">
        <v>7192</v>
      </c>
      <c r="D44">
        <v>7279</v>
      </c>
    </row>
    <row r="45" spans="1:4" x14ac:dyDescent="0.3">
      <c r="A45" t="s">
        <v>93</v>
      </c>
      <c r="B45" t="s">
        <v>152</v>
      </c>
      <c r="C45">
        <v>3539</v>
      </c>
      <c r="D45">
        <v>3628</v>
      </c>
    </row>
    <row r="46" spans="1:4" x14ac:dyDescent="0.3">
      <c r="A46" t="s">
        <v>93</v>
      </c>
      <c r="B46" t="s">
        <v>152</v>
      </c>
      <c r="C46">
        <v>4785</v>
      </c>
      <c r="D46">
        <v>4843</v>
      </c>
    </row>
    <row r="47" spans="1:4" x14ac:dyDescent="0.3">
      <c r="A47" t="s">
        <v>93</v>
      </c>
      <c r="B47" t="s">
        <v>152</v>
      </c>
      <c r="C47">
        <v>11801</v>
      </c>
      <c r="D47">
        <v>11838</v>
      </c>
    </row>
    <row r="48" spans="1:4" x14ac:dyDescent="0.3">
      <c r="A48" t="s">
        <v>93</v>
      </c>
      <c r="B48" t="s">
        <v>152</v>
      </c>
      <c r="C48">
        <v>8920</v>
      </c>
      <c r="D48">
        <v>9013</v>
      </c>
    </row>
    <row r="49" spans="1:4" x14ac:dyDescent="0.3">
      <c r="A49" t="s">
        <v>93</v>
      </c>
      <c r="B49" t="s">
        <v>152</v>
      </c>
      <c r="C49">
        <v>200</v>
      </c>
      <c r="D49">
        <v>230</v>
      </c>
    </row>
    <row r="50" spans="1:4" x14ac:dyDescent="0.3">
      <c r="A50" t="s">
        <v>93</v>
      </c>
      <c r="B50" t="s">
        <v>152</v>
      </c>
      <c r="C50">
        <v>6307</v>
      </c>
      <c r="D50">
        <v>6343</v>
      </c>
    </row>
    <row r="51" spans="1:4" x14ac:dyDescent="0.3">
      <c r="A51" t="s">
        <v>93</v>
      </c>
      <c r="B51" t="s">
        <v>152</v>
      </c>
      <c r="C51">
        <v>12334</v>
      </c>
      <c r="D51">
        <v>12411</v>
      </c>
    </row>
    <row r="52" spans="1:4" x14ac:dyDescent="0.3">
      <c r="A52" t="s">
        <v>93</v>
      </c>
      <c r="B52" t="s">
        <v>152</v>
      </c>
      <c r="C52">
        <v>13973</v>
      </c>
      <c r="D52">
        <v>14018</v>
      </c>
    </row>
    <row r="53" spans="1:4" x14ac:dyDescent="0.3">
      <c r="A53" t="s">
        <v>93</v>
      </c>
      <c r="B53" t="s">
        <v>152</v>
      </c>
      <c r="C53">
        <v>5000</v>
      </c>
      <c r="D53">
        <v>5021</v>
      </c>
    </row>
    <row r="54" spans="1:4" x14ac:dyDescent="0.3">
      <c r="A54" t="s">
        <v>93</v>
      </c>
      <c r="B54" t="s">
        <v>152</v>
      </c>
      <c r="C54">
        <v>19000</v>
      </c>
      <c r="D54">
        <v>19080</v>
      </c>
    </row>
    <row r="55" spans="1:4" x14ac:dyDescent="0.3">
      <c r="A55" t="s">
        <v>93</v>
      </c>
      <c r="B55" t="s">
        <v>152</v>
      </c>
      <c r="C55">
        <v>5000</v>
      </c>
      <c r="D55">
        <v>5021</v>
      </c>
    </row>
    <row r="56" spans="1:4" x14ac:dyDescent="0.3">
      <c r="A56" t="s">
        <v>93</v>
      </c>
      <c r="B56" t="s">
        <v>152</v>
      </c>
      <c r="C56">
        <v>5981</v>
      </c>
      <c r="D56">
        <v>6002</v>
      </c>
    </row>
    <row r="57" spans="1:4" x14ac:dyDescent="0.3">
      <c r="A57" t="s">
        <v>93</v>
      </c>
      <c r="B57" t="s">
        <v>152</v>
      </c>
      <c r="C57">
        <v>5701</v>
      </c>
      <c r="D57">
        <v>5773</v>
      </c>
    </row>
    <row r="58" spans="1:4" x14ac:dyDescent="0.3">
      <c r="A58" t="s">
        <v>93</v>
      </c>
      <c r="B58" t="s">
        <v>152</v>
      </c>
      <c r="C58">
        <v>4000</v>
      </c>
      <c r="D58">
        <v>4082</v>
      </c>
    </row>
    <row r="59" spans="1:4" x14ac:dyDescent="0.3">
      <c r="A59" t="s">
        <v>93</v>
      </c>
      <c r="B59" t="s">
        <v>152</v>
      </c>
      <c r="C59">
        <v>5159</v>
      </c>
      <c r="D59">
        <v>5163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604A-58B2-4CE2-9BE3-81EE7ED76FD5}">
  <sheetPr codeName="Sheet14"/>
  <dimension ref="A5:E16"/>
  <sheetViews>
    <sheetView zoomScale="136" zoomScaleNormal="136" workbookViewId="0">
      <selection activeCell="I3" sqref="I3"/>
    </sheetView>
  </sheetViews>
  <sheetFormatPr defaultRowHeight="14.4" x14ac:dyDescent="0.3"/>
  <cols>
    <col min="2" max="2" width="12.109375" customWidth="1"/>
    <col min="3" max="3" width="19.44140625" customWidth="1"/>
  </cols>
  <sheetData>
    <row r="5" spans="1:5" x14ac:dyDescent="0.3">
      <c r="B5" s="28" t="s">
        <v>136</v>
      </c>
      <c r="C5" s="29"/>
    </row>
    <row r="6" spans="1:5" x14ac:dyDescent="0.3">
      <c r="B6" s="28" t="s">
        <v>137</v>
      </c>
      <c r="C6" s="29"/>
    </row>
    <row r="7" spans="1:5" x14ac:dyDescent="0.3">
      <c r="B7" s="28" t="s">
        <v>138</v>
      </c>
      <c r="C7" s="29"/>
    </row>
    <row r="8" spans="1:5" x14ac:dyDescent="0.3">
      <c r="B8" s="28" t="s">
        <v>139</v>
      </c>
      <c r="C8" s="29"/>
    </row>
    <row r="9" spans="1:5" x14ac:dyDescent="0.3">
      <c r="B9" s="28" t="s">
        <v>144</v>
      </c>
      <c r="C9" s="29"/>
    </row>
    <row r="13" spans="1:5" x14ac:dyDescent="0.3">
      <c r="A13" s="28" t="s">
        <v>136</v>
      </c>
      <c r="B13" s="28" t="s">
        <v>137</v>
      </c>
      <c r="C13" s="28" t="s">
        <v>138</v>
      </c>
      <c r="D13" s="28" t="s">
        <v>139</v>
      </c>
      <c r="E13" s="28" t="s">
        <v>144</v>
      </c>
    </row>
    <row r="14" spans="1:5" x14ac:dyDescent="0.3">
      <c r="A14" s="30">
        <v>333</v>
      </c>
      <c r="B14" s="30" t="s">
        <v>204</v>
      </c>
      <c r="C14" s="30" t="s">
        <v>169</v>
      </c>
      <c r="D14" s="30" t="s">
        <v>205</v>
      </c>
      <c r="E14" s="30">
        <v>55453</v>
      </c>
    </row>
    <row r="15" spans="1:5" x14ac:dyDescent="0.3">
      <c r="A15" s="31">
        <v>222</v>
      </c>
      <c r="B15" s="31" t="s">
        <v>202</v>
      </c>
      <c r="C15" s="31" t="s">
        <v>175</v>
      </c>
      <c r="D15" s="31" t="s">
        <v>203</v>
      </c>
      <c r="E15" s="31">
        <v>53535</v>
      </c>
    </row>
    <row r="16" spans="1:5" x14ac:dyDescent="0.3">
      <c r="A16" s="31">
        <v>111</v>
      </c>
      <c r="B16" s="31" t="s">
        <v>140</v>
      </c>
      <c r="C16" s="31" t="s">
        <v>171</v>
      </c>
      <c r="D16" s="31" t="s">
        <v>201</v>
      </c>
      <c r="E16" s="31">
        <v>34343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8" r:id="rId3" name="Button 2">
              <controlPr defaultSize="0" print="0" autoFill="0" autoPict="0" macro="[0]!Macro3">
                <anchor moveWithCells="1" sizeWithCells="1">
                  <from>
                    <xdr:col>3</xdr:col>
                    <xdr:colOff>266700</xdr:colOff>
                    <xdr:row>6</xdr:row>
                    <xdr:rowOff>175260</xdr:rowOff>
                  </from>
                  <to>
                    <xdr:col>5</xdr:col>
                    <xdr:colOff>594360</xdr:colOff>
                    <xdr:row>8</xdr:row>
                    <xdr:rowOff>121920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03C8B2-2800-4DFD-9AC7-9696D8DF23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Query1</vt:lpstr>
      <vt:lpstr>Stored Procedure with Excel</vt:lpstr>
      <vt:lpstr>Sheet2</vt:lpstr>
      <vt:lpstr>Sheet3</vt:lpstr>
      <vt:lpstr>Excel</vt:lpstr>
      <vt:lpstr>Group By</vt:lpstr>
      <vt:lpstr>Pivot By</vt:lpstr>
      <vt:lpstr>AI. TRanslate</vt:lpstr>
      <vt:lpstr>Logo</vt:lpstr>
      <vt:lpstr>Sheet8</vt:lpstr>
      <vt:lpstr>Sheet9</vt:lpstr>
      <vt:lpstr>Sheet10</vt:lpstr>
      <vt:lpstr>Sheet4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Noorain Ansari</dc:creator>
  <cp:lastModifiedBy>Noorain Ansari</cp:lastModifiedBy>
  <dcterms:created xsi:type="dcterms:W3CDTF">2022-03-20T05:25:39Z</dcterms:created>
  <dcterms:modified xsi:type="dcterms:W3CDTF">2025-08-11T05:01:34Z</dcterms:modified>
</cp:coreProperties>
</file>